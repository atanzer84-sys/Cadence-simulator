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andreatanzer/Documents/Space Science/MasterThesis/WALTzER-simulator/input/"/>
    </mc:Choice>
  </mc:AlternateContent>
  <xr:revisionPtr revIDLastSave="0" documentId="13_ncr:1_{652170AF-4C9F-7F41-B460-9DDB174223D5}" xr6:coauthVersionLast="47" xr6:coauthVersionMax="47" xr10:uidLastSave="{00000000-0000-0000-0000-000000000000}"/>
  <bookViews>
    <workbookView xWindow="0" yWindow="600" windowWidth="33600" windowHeight="18900" xr2:uid="{00000000-000D-0000-FFFF-FFFF00000000}"/>
  </bookViews>
  <sheets>
    <sheet name="Targets_V10p1" sheetId="1" r:id="rId1"/>
  </sheets>
  <definedNames>
    <definedName name="_xlnm._FilterDatabase" localSheetId="0" hidden="1">Targets_V10p1!$A$1:$X$101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6" i="1" l="1"/>
  <c r="S51" i="1"/>
  <c r="T81" i="1"/>
  <c r="T37" i="1"/>
  <c r="S37" i="1"/>
  <c r="T57" i="1"/>
  <c r="T88" i="1"/>
  <c r="T91" i="1"/>
  <c r="T89" i="1"/>
  <c r="T30" i="1"/>
  <c r="T36" i="1"/>
  <c r="T56" i="1"/>
  <c r="T55" i="1"/>
  <c r="T33" i="1"/>
  <c r="T47" i="1"/>
  <c r="T38" i="1"/>
  <c r="T50" i="1"/>
  <c r="T45" i="1"/>
  <c r="T21" i="1"/>
  <c r="T31" i="1"/>
  <c r="T63" i="1"/>
  <c r="T77" i="1"/>
  <c r="T67" i="1"/>
  <c r="T79" i="1"/>
  <c r="T43" i="1"/>
  <c r="T72" i="1"/>
  <c r="T61" i="1"/>
  <c r="T87" i="1"/>
  <c r="T85" i="1"/>
  <c r="T40" i="1"/>
  <c r="T90" i="1"/>
  <c r="T60" i="1"/>
  <c r="T27" i="1"/>
  <c r="T100" i="1"/>
  <c r="T92" i="1"/>
  <c r="T94" i="1"/>
  <c r="T59" i="1"/>
  <c r="T58" i="1"/>
  <c r="T68" i="1"/>
  <c r="T64" i="1"/>
  <c r="T24" i="1"/>
  <c r="T84" i="1"/>
  <c r="T93" i="1"/>
  <c r="T74" i="1"/>
  <c r="T22" i="1"/>
  <c r="T25" i="1"/>
  <c r="T96" i="1"/>
  <c r="T54" i="1"/>
  <c r="T53" i="1"/>
  <c r="T35" i="1"/>
  <c r="T65" i="1"/>
  <c r="T48" i="1"/>
  <c r="T41" i="1"/>
  <c r="T78" i="1"/>
  <c r="T19" i="1"/>
  <c r="T101" i="1"/>
  <c r="T44" i="1"/>
  <c r="T66" i="1"/>
  <c r="T76" i="1"/>
  <c r="T70" i="1"/>
  <c r="T86" i="1"/>
  <c r="T73" i="1"/>
  <c r="T71" i="1"/>
  <c r="T83" i="1"/>
  <c r="T49" i="1"/>
  <c r="T20" i="1"/>
  <c r="T95" i="1"/>
  <c r="T98" i="1"/>
  <c r="T75" i="1"/>
  <c r="T82" i="1"/>
  <c r="T97" i="1"/>
  <c r="T99" i="1"/>
  <c r="T28" i="1"/>
  <c r="T42" i="1"/>
  <c r="T62" i="1"/>
  <c r="T39" i="1"/>
  <c r="T29" i="1"/>
  <c r="T32" i="1"/>
  <c r="T34" i="1"/>
  <c r="T46" i="1"/>
  <c r="T69" i="1"/>
  <c r="S88" i="1"/>
  <c r="S47" i="1"/>
  <c r="S99" i="1"/>
  <c r="S97" i="1"/>
  <c r="S82" i="1"/>
  <c r="S75" i="1"/>
  <c r="S98" i="1"/>
  <c r="S95" i="1"/>
  <c r="S20" i="1"/>
  <c r="S49" i="1"/>
  <c r="S83" i="1"/>
  <c r="S71" i="1"/>
  <c r="S73" i="1"/>
  <c r="S86" i="1"/>
  <c r="S70" i="1"/>
  <c r="S76" i="1"/>
  <c r="S91" i="1"/>
  <c r="S66" i="1"/>
  <c r="S44" i="1"/>
  <c r="S101" i="1"/>
  <c r="S19" i="1"/>
  <c r="S78" i="1"/>
  <c r="S41" i="1"/>
  <c r="S48" i="1"/>
  <c r="S65" i="1"/>
  <c r="S35" i="1"/>
  <c r="S53" i="1"/>
  <c r="S54" i="1"/>
  <c r="S96" i="1"/>
  <c r="S25" i="1"/>
  <c r="S22" i="1"/>
  <c r="S74" i="1"/>
  <c r="S93" i="1"/>
  <c r="S84" i="1"/>
  <c r="S24" i="1"/>
  <c r="S64" i="1"/>
  <c r="S68" i="1"/>
  <c r="S58" i="1"/>
  <c r="S59" i="1"/>
  <c r="S94" i="1"/>
  <c r="S92" i="1"/>
  <c r="S57" i="1"/>
  <c r="S100" i="1"/>
  <c r="S27" i="1"/>
  <c r="S60" i="1"/>
  <c r="S90" i="1"/>
  <c r="S40" i="1"/>
  <c r="S85" i="1"/>
  <c r="S87" i="1"/>
  <c r="S61" i="1"/>
  <c r="S72" i="1"/>
  <c r="S43" i="1"/>
  <c r="S79" i="1"/>
  <c r="S67" i="1"/>
  <c r="S77" i="1"/>
  <c r="S63" i="1"/>
  <c r="S31" i="1"/>
  <c r="S21" i="1"/>
  <c r="S45" i="1"/>
  <c r="S50" i="1"/>
  <c r="S38" i="1"/>
  <c r="S33" i="1"/>
  <c r="S55" i="1"/>
  <c r="S56" i="1"/>
  <c r="S36" i="1"/>
  <c r="S30" i="1"/>
  <c r="S89" i="1"/>
  <c r="S28" i="1"/>
  <c r="S42" i="1"/>
  <c r="S62" i="1"/>
  <c r="S39" i="1"/>
  <c r="S29" i="1"/>
  <c r="S32" i="1"/>
  <c r="S34" i="1"/>
  <c r="S69" i="1"/>
</calcChain>
</file>

<file path=xl/sharedStrings.xml><?xml version="1.0" encoding="utf-8"?>
<sst xmlns="http://schemas.openxmlformats.org/spreadsheetml/2006/main" count="281" uniqueCount="166">
  <si>
    <t>#pl_name</t>
  </si>
  <si>
    <t>discoverymethod</t>
  </si>
  <si>
    <t>pl_orbper</t>
  </si>
  <si>
    <t>pl_orbsmax</t>
  </si>
  <si>
    <t>pl_radj</t>
  </si>
  <si>
    <t>pl_bmassj</t>
  </si>
  <si>
    <t>pl_eqt</t>
  </si>
  <si>
    <t>st_spectype</t>
  </si>
  <si>
    <t>st_teff</t>
  </si>
  <si>
    <t>st_rad</t>
  </si>
  <si>
    <t>st_mass</t>
  </si>
  <si>
    <t>st_met</t>
  </si>
  <si>
    <t>st_logg</t>
  </si>
  <si>
    <t>ra</t>
  </si>
  <si>
    <t>dec</t>
  </si>
  <si>
    <t>sy_dist</t>
  </si>
  <si>
    <t>sy_vmag</t>
  </si>
  <si>
    <t>sy_gaiamag</t>
  </si>
  <si>
    <t>scale_height_km</t>
  </si>
  <si>
    <t>WASP-189 b</t>
  </si>
  <si>
    <t>Transit</t>
  </si>
  <si>
    <t>KELT-9 b</t>
  </si>
  <si>
    <t>TOI-257 b</t>
  </si>
  <si>
    <t>KELT-20 b</t>
  </si>
  <si>
    <t>A2 V</t>
  </si>
  <si>
    <t>HD 209458 b</t>
  </si>
  <si>
    <t>Radial Velocity</t>
  </si>
  <si>
    <t>G0 V</t>
  </si>
  <si>
    <t>HD 189733 b</t>
  </si>
  <si>
    <t>K2 V</t>
  </si>
  <si>
    <t>HD 1397 b</t>
  </si>
  <si>
    <t>G5 III/IV</t>
  </si>
  <si>
    <t>HD 88133 b</t>
  </si>
  <si>
    <t>G5</t>
  </si>
  <si>
    <t>TOI-1431 b</t>
  </si>
  <si>
    <t>Am C</t>
  </si>
  <si>
    <t>KELT-11 b</t>
  </si>
  <si>
    <t>G8/K0 IV</t>
  </si>
  <si>
    <t>HD 118203 b</t>
  </si>
  <si>
    <t>K0 IV</t>
  </si>
  <si>
    <t>WASP-33 b</t>
  </si>
  <si>
    <t>A</t>
  </si>
  <si>
    <t>HD 149026 b</t>
  </si>
  <si>
    <t>G0</t>
  </si>
  <si>
    <t>HD 221416 b</t>
  </si>
  <si>
    <t>K0 IV/V</t>
  </si>
  <si>
    <t>MASCARA-4 b</t>
  </si>
  <si>
    <t>A7 V</t>
  </si>
  <si>
    <t>MASCARA-1 b</t>
  </si>
  <si>
    <t>A8</t>
  </si>
  <si>
    <t>HD 202772 A b</t>
  </si>
  <si>
    <t>KELT-24 b</t>
  </si>
  <si>
    <t>F7</t>
  </si>
  <si>
    <t>HD 332231 b</t>
  </si>
  <si>
    <t>F8</t>
  </si>
  <si>
    <t>KELT-7 b</t>
  </si>
  <si>
    <t>F</t>
  </si>
  <si>
    <t>KELT-2 A b</t>
  </si>
  <si>
    <t>HAT-P-2 b</t>
  </si>
  <si>
    <t>HD 152843 c</t>
  </si>
  <si>
    <t>TOI-1518 b</t>
  </si>
  <si>
    <t>F0</t>
  </si>
  <si>
    <t>TOI-622 b</t>
  </si>
  <si>
    <t>F6 V</t>
  </si>
  <si>
    <t>TOI-2145 b</t>
  </si>
  <si>
    <t>TOI-778 b</t>
  </si>
  <si>
    <t>F3 V</t>
  </si>
  <si>
    <t>KELT-17 b</t>
  </si>
  <si>
    <t>TOI-4603 b</t>
  </si>
  <si>
    <t>TOI-1408 b</t>
  </si>
  <si>
    <t>F8 V</t>
  </si>
  <si>
    <t>WASP-18 b</t>
  </si>
  <si>
    <t>F6 IV-V</t>
  </si>
  <si>
    <t>WASP-166 b</t>
  </si>
  <si>
    <t>F9 V</t>
  </si>
  <si>
    <t>HD 89345 b</t>
  </si>
  <si>
    <t>WASP-38 b</t>
  </si>
  <si>
    <t>TOI-1333 b</t>
  </si>
  <si>
    <t>HAT-P-70 b</t>
  </si>
  <si>
    <t>WASP-99 b</t>
  </si>
  <si>
    <t>TIC 393818343 b</t>
  </si>
  <si>
    <t>WASP-7 b</t>
  </si>
  <si>
    <t>WASP-76 b</t>
  </si>
  <si>
    <t>TOI-1136 d</t>
  </si>
  <si>
    <t>TOI-1135 b</t>
  </si>
  <si>
    <t>TOI-2497 b</t>
  </si>
  <si>
    <t>HD 2685 b</t>
  </si>
  <si>
    <t>TOI-1789 b</t>
  </si>
  <si>
    <t>HAT-P-60 b</t>
  </si>
  <si>
    <t>WASP-14 b</t>
  </si>
  <si>
    <t>WASP-74 b</t>
  </si>
  <si>
    <t>F9</t>
  </si>
  <si>
    <t>TOI-5108 b</t>
  </si>
  <si>
    <t>HAT-P-22 b</t>
  </si>
  <si>
    <t>G5 V</t>
  </si>
  <si>
    <t>HAT-P-69 b</t>
  </si>
  <si>
    <t>WASP-8 b</t>
  </si>
  <si>
    <t>G8 V</t>
  </si>
  <si>
    <t>LTT 9779 b</t>
  </si>
  <si>
    <t>G7 V</t>
  </si>
  <si>
    <t>KOI-13 b</t>
  </si>
  <si>
    <t>HD 219666 b</t>
  </si>
  <si>
    <t>TOI-1842 b</t>
  </si>
  <si>
    <t>KELT-3 b</t>
  </si>
  <si>
    <t>K2-232 b</t>
  </si>
  <si>
    <t>TOI-677 b</t>
  </si>
  <si>
    <t>HAT-P-1 b</t>
  </si>
  <si>
    <t>XO-3 b</t>
  </si>
  <si>
    <t>F5V</t>
  </si>
  <si>
    <t>KELT-19 A b</t>
  </si>
  <si>
    <t>A8 V</t>
  </si>
  <si>
    <t>TOI-2005 b</t>
  </si>
  <si>
    <t>WASP-69 b</t>
  </si>
  <si>
    <t>K</t>
  </si>
  <si>
    <t>TOI-6038 A b</t>
  </si>
  <si>
    <t>TOI-421 c</t>
  </si>
  <si>
    <t>G9 V</t>
  </si>
  <si>
    <t>WASP-178 b</t>
  </si>
  <si>
    <t>A1 IV-V</t>
  </si>
  <si>
    <t>TOI-481 b</t>
  </si>
  <si>
    <t>G</t>
  </si>
  <si>
    <t>TOI-4551 b</t>
  </si>
  <si>
    <t>WASP-136 b</t>
  </si>
  <si>
    <t>KELT-4 A b</t>
  </si>
  <si>
    <t>HAT-P-14 b</t>
  </si>
  <si>
    <t>F5 V</t>
  </si>
  <si>
    <t>WASP-79 b</t>
  </si>
  <si>
    <t>F5</t>
  </si>
  <si>
    <t>WASP-94 A b</t>
  </si>
  <si>
    <t>TOI-5398 b</t>
  </si>
  <si>
    <t>G V</t>
  </si>
  <si>
    <t>WASP-131 b</t>
  </si>
  <si>
    <t>WASP-82 b</t>
  </si>
  <si>
    <t>WASP-95 b</t>
  </si>
  <si>
    <t>G2</t>
  </si>
  <si>
    <t>logR</t>
  </si>
  <si>
    <t>usedForTests</t>
  </si>
  <si>
    <t>x</t>
  </si>
  <si>
    <t>WASP-12 b</t>
  </si>
  <si>
    <t>HAT-P-32 b</t>
  </si>
  <si>
    <t>HAT-P-7 b</t>
  </si>
  <si>
    <t>Kepler-13 b</t>
  </si>
  <si>
    <t>TrES-4 b</t>
  </si>
  <si>
    <t>B9.5-A0</t>
  </si>
  <si>
    <t>V_MAG</t>
  </si>
  <si>
    <t>B_MAG</t>
  </si>
  <si>
    <t>Class</t>
  </si>
  <si>
    <t>4236349174325957504 b</t>
  </si>
  <si>
    <t>DWARF</t>
  </si>
  <si>
    <t>4186786759262834816 b</t>
  </si>
  <si>
    <t>GIANT</t>
  </si>
  <si>
    <t>4470854526137662336 b</t>
  </si>
  <si>
    <t>5104401338026192896 b</t>
  </si>
  <si>
    <t>4658692653094984064 b</t>
  </si>
  <si>
    <t>4484082200778102912 b</t>
  </si>
  <si>
    <t>4589034532709089664 b</t>
  </si>
  <si>
    <t>4530045738181114112 b</t>
  </si>
  <si>
    <t>4501593121729029760 b</t>
  </si>
  <si>
    <t>4537788189826607744 b</t>
  </si>
  <si>
    <t>4506750419706094208 b</t>
  </si>
  <si>
    <t>4502235206461528320 b</t>
  </si>
  <si>
    <t>4502894466759683328 b</t>
  </si>
  <si>
    <t>4471023610402254336 b</t>
  </si>
  <si>
    <t>4507794990110778496 b</t>
  </si>
  <si>
    <t>4509331003532495104 b</t>
  </si>
  <si>
    <t>4113444695135680128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</si>
</sst>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_ "/>
  </numFmts>
  <fonts count="4" x14ac:knownFonts="1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top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" xfId="0" applyBorder="1">
      <alignment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1"/>
  <sheetViews>
    <sheetView tabSelected="1" zoomScale="125" workbookViewId="0">
      <pane ySplit="1" topLeftCell="A2" activePane="bottomLeft" state="frozen"/>
      <selection pane="bottomLeft" activeCell="K16" sqref="K16"/>
    </sheetView>
  </sheetViews>
  <sheetFormatPr baseColWidth="10" defaultColWidth="8" defaultRowHeight="15" x14ac:dyDescent="0.2"/>
  <cols>
    <col min="1" max="1" width="21.83203125" bestFit="1" customWidth="1"/>
    <col min="2" max="2" width="16.83203125" hidden="1" customWidth="1"/>
    <col min="3" max="3" width="12.1640625" hidden="1" customWidth="1"/>
    <col min="4" max="4" width="12.5" hidden="1" customWidth="1"/>
    <col min="5" max="6" width="11.1640625" hidden="1" customWidth="1"/>
    <col min="7" max="7" width="8.5" hidden="1" customWidth="1"/>
    <col min="8" max="8" width="12.5" customWidth="1"/>
    <col min="9" max="9" width="8.6640625" bestFit="1" customWidth="1"/>
    <col min="10" max="10" width="12.1640625" bestFit="1" customWidth="1"/>
    <col min="11" max="11" width="10.1640625" customWidth="1"/>
    <col min="12" max="12" width="8.83203125" customWidth="1"/>
    <col min="13" max="14" width="12.1640625" customWidth="1"/>
    <col min="15" max="15" width="12.6640625" customWidth="1"/>
    <col min="16" max="16" width="9.1640625" customWidth="1"/>
    <col min="17" max="17" width="12.1640625" customWidth="1"/>
    <col min="18" max="18" width="12.1640625" bestFit="1" customWidth="1"/>
    <col min="19" max="19" width="16.1640625" hidden="1" customWidth="1"/>
    <col min="20" max="20" width="7" hidden="1" customWidth="1"/>
    <col min="21" max="21" width="13.33203125" hidden="1" customWidth="1"/>
    <col min="22" max="22" width="12.1640625" bestFit="1" customWidth="1"/>
    <col min="23" max="23" width="12" bestFit="1" customWidth="1"/>
    <col min="24" max="24" width="9.83203125" bestFit="1" customWidth="1"/>
    <col min="25" max="25" width="9"/>
    <col min="27" max="27" width="9.83203125"/>
    <col min="28" max="28" width="9"/>
    <col min="30" max="30" width="9.83203125"/>
    <col min="31" max="31" width="9"/>
    <col min="36" max="36" width="9.83203125"/>
    <col min="37" max="37" width="9"/>
    <col min="42" max="42" width="9.83203125"/>
    <col min="43" max="43" width="9"/>
    <col min="45" max="45" width="9.83203125"/>
    <col min="46" max="46" width="9"/>
    <col min="55" max="55" width="8.1640625"/>
  </cols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135</v>
      </c>
      <c r="U1" s="1" t="s">
        <v>136</v>
      </c>
      <c r="V1" s="2" t="s">
        <v>144</v>
      </c>
      <c r="W1" s="2" t="s">
        <v>145</v>
      </c>
      <c r="X1" s="2" t="s">
        <v>146</v>
      </c>
    </row>
    <row r="2" spans="1:55" x14ac:dyDescent="0.2">
      <c r="A2" t="s">
        <v>165</v>
      </c>
      <c r="I2">
        <v>3501</v>
      </c>
      <c r="J2">
        <v>50.991</v>
      </c>
      <c r="K2">
        <v>0</v>
      </c>
      <c r="L2">
        <v>0</v>
      </c>
      <c r="M2">
        <v>0</v>
      </c>
      <c r="N2">
        <v>254.47763000024</v>
      </c>
      <c r="O2">
        <v>-23.844465202550001</v>
      </c>
      <c r="P2">
        <v>1025.1500000000001</v>
      </c>
      <c r="V2">
        <v>11.035</v>
      </c>
      <c r="W2">
        <v>12.885999999999999</v>
      </c>
      <c r="X2" t="s">
        <v>150</v>
      </c>
      <c r="AZ2" s="3"/>
      <c r="BB2" s="3"/>
      <c r="BC2" s="3"/>
    </row>
    <row r="3" spans="1:55" x14ac:dyDescent="0.2">
      <c r="A3" t="s">
        <v>149</v>
      </c>
      <c r="I3">
        <v>3496</v>
      </c>
      <c r="J3">
        <v>83.710999999999999</v>
      </c>
      <c r="K3">
        <v>0</v>
      </c>
      <c r="L3">
        <v>0</v>
      </c>
      <c r="M3">
        <v>0</v>
      </c>
      <c r="N3">
        <v>293.64838257128002</v>
      </c>
      <c r="O3">
        <v>-12.35499539692</v>
      </c>
      <c r="P3">
        <v>1655.31</v>
      </c>
      <c r="V3">
        <v>10.977</v>
      </c>
      <c r="W3">
        <v>12.571999999999999</v>
      </c>
      <c r="X3" t="s">
        <v>150</v>
      </c>
      <c r="AZ3" s="3"/>
      <c r="BB3" s="3"/>
      <c r="BC3" s="3"/>
    </row>
    <row r="4" spans="1:55" x14ac:dyDescent="0.2">
      <c r="A4" t="s">
        <v>147</v>
      </c>
      <c r="I4">
        <v>3460</v>
      </c>
      <c r="J4">
        <v>0.54700000000000004</v>
      </c>
      <c r="K4">
        <v>0.54300000000000004</v>
      </c>
      <c r="L4">
        <v>0</v>
      </c>
      <c r="M4">
        <v>4.6963999999999997</v>
      </c>
      <c r="N4">
        <v>303.19871318011002</v>
      </c>
      <c r="O4">
        <v>-0.37849292589</v>
      </c>
      <c r="P4">
        <v>312.65899999999999</v>
      </c>
      <c r="V4">
        <v>10.968999999999999</v>
      </c>
      <c r="W4">
        <v>11.454000000000001</v>
      </c>
      <c r="X4" t="s">
        <v>148</v>
      </c>
      <c r="AZ4" s="3"/>
      <c r="BB4" s="3"/>
      <c r="BC4" s="3"/>
    </row>
    <row r="5" spans="1:55" x14ac:dyDescent="0.2">
      <c r="A5" t="s">
        <v>151</v>
      </c>
      <c r="I5">
        <v>5804</v>
      </c>
      <c r="J5">
        <v>1.179</v>
      </c>
      <c r="K5">
        <v>1.04</v>
      </c>
      <c r="L5">
        <v>0</v>
      </c>
      <c r="M5">
        <v>4.3121</v>
      </c>
      <c r="N5">
        <v>274.86862255196002</v>
      </c>
      <c r="O5">
        <v>5.3506741626599998</v>
      </c>
      <c r="P5">
        <v>1644.4</v>
      </c>
      <c r="V5">
        <v>15.965999999999999</v>
      </c>
      <c r="W5">
        <v>16.86</v>
      </c>
      <c r="X5" t="s">
        <v>148</v>
      </c>
      <c r="AZ5" s="3"/>
      <c r="BB5" s="3"/>
      <c r="BC5" s="3"/>
    </row>
    <row r="6" spans="1:55" x14ac:dyDescent="0.2">
      <c r="A6" t="s">
        <v>162</v>
      </c>
      <c r="I6">
        <v>5800</v>
      </c>
      <c r="J6">
        <v>1.3220000000000001</v>
      </c>
      <c r="K6">
        <v>1.04</v>
      </c>
      <c r="L6">
        <v>0</v>
      </c>
      <c r="M6">
        <v>4.2129000000000003</v>
      </c>
      <c r="N6">
        <v>270.95467601665001</v>
      </c>
      <c r="O6">
        <v>3.9944008770699999</v>
      </c>
      <c r="P6">
        <v>2963.53</v>
      </c>
      <c r="V6">
        <v>17.052</v>
      </c>
      <c r="W6">
        <v>17.364000000000001</v>
      </c>
      <c r="X6" t="s">
        <v>148</v>
      </c>
      <c r="AZ6" s="3"/>
      <c r="BB6" s="3"/>
      <c r="BC6" s="3"/>
    </row>
    <row r="7" spans="1:55" x14ac:dyDescent="0.2">
      <c r="A7" t="s">
        <v>154</v>
      </c>
      <c r="I7">
        <v>5799</v>
      </c>
      <c r="J7">
        <v>0.99</v>
      </c>
      <c r="K7">
        <v>1.042</v>
      </c>
      <c r="L7">
        <v>0</v>
      </c>
      <c r="M7">
        <v>4.4642999999999997</v>
      </c>
      <c r="N7">
        <v>278.21725113665002</v>
      </c>
      <c r="O7">
        <v>11.92287820316</v>
      </c>
      <c r="P7">
        <v>224.12799999999999</v>
      </c>
      <c r="V7">
        <v>11.997</v>
      </c>
      <c r="W7">
        <v>12.47</v>
      </c>
      <c r="X7" t="s">
        <v>148</v>
      </c>
    </row>
    <row r="8" spans="1:55" x14ac:dyDescent="0.2">
      <c r="A8" t="s">
        <v>157</v>
      </c>
      <c r="I8">
        <v>5800.4</v>
      </c>
      <c r="J8">
        <v>1.4930000000000001</v>
      </c>
      <c r="K8">
        <v>1.04</v>
      </c>
      <c r="L8">
        <v>-6.6000000000000003E-2</v>
      </c>
      <c r="M8">
        <v>4.1069000000000004</v>
      </c>
      <c r="N8">
        <v>270.30880152526998</v>
      </c>
      <c r="O8">
        <v>15.944626030029999</v>
      </c>
      <c r="P8">
        <v>579.08500000000004</v>
      </c>
      <c r="V8">
        <v>12.978999999999999</v>
      </c>
      <c r="W8">
        <v>13.638999999999999</v>
      </c>
      <c r="X8" t="s">
        <v>148</v>
      </c>
    </row>
    <row r="9" spans="1:55" x14ac:dyDescent="0.2">
      <c r="A9" t="s">
        <v>160</v>
      </c>
      <c r="I9">
        <v>5813</v>
      </c>
      <c r="J9">
        <v>1.83</v>
      </c>
      <c r="K9">
        <v>1.05</v>
      </c>
      <c r="L9">
        <v>0</v>
      </c>
      <c r="M9">
        <v>3.9344999999999999</v>
      </c>
      <c r="N9">
        <v>270.99233637095</v>
      </c>
      <c r="O9">
        <v>16.858729226019999</v>
      </c>
      <c r="P9">
        <v>1779.6</v>
      </c>
      <c r="V9">
        <v>14.999000000000001</v>
      </c>
      <c r="W9">
        <v>15.66</v>
      </c>
      <c r="X9" t="s">
        <v>148</v>
      </c>
    </row>
    <row r="10" spans="1:55" x14ac:dyDescent="0.2">
      <c r="A10" t="s">
        <v>161</v>
      </c>
      <c r="I10">
        <v>5820</v>
      </c>
      <c r="J10">
        <v>6.2519999999999998</v>
      </c>
      <c r="K10">
        <v>0</v>
      </c>
      <c r="L10">
        <v>0</v>
      </c>
      <c r="M10">
        <v>0</v>
      </c>
      <c r="N10">
        <v>267.97432727351003</v>
      </c>
      <c r="O10">
        <v>17.507747521020001</v>
      </c>
      <c r="P10">
        <v>6401.77</v>
      </c>
      <c r="V10">
        <v>15.007999999999999</v>
      </c>
      <c r="W10">
        <v>15.702999999999999</v>
      </c>
      <c r="X10" t="s">
        <v>150</v>
      </c>
    </row>
    <row r="11" spans="1:55" x14ac:dyDescent="0.2">
      <c r="A11" t="s">
        <v>159</v>
      </c>
      <c r="I11">
        <v>5824</v>
      </c>
      <c r="J11">
        <v>4.7249999999999996</v>
      </c>
      <c r="K11">
        <v>0</v>
      </c>
      <c r="L11">
        <v>0</v>
      </c>
      <c r="M11">
        <v>0</v>
      </c>
      <c r="N11">
        <v>284.95537150204001</v>
      </c>
      <c r="O11">
        <v>14.42740619077</v>
      </c>
      <c r="P11">
        <v>1961.4</v>
      </c>
      <c r="V11">
        <v>14.023</v>
      </c>
      <c r="W11">
        <v>15.048999999999999</v>
      </c>
      <c r="X11" t="s">
        <v>150</v>
      </c>
    </row>
    <row r="12" spans="1:55" x14ac:dyDescent="0.2">
      <c r="A12" t="s">
        <v>163</v>
      </c>
      <c r="I12">
        <v>5816</v>
      </c>
      <c r="J12">
        <v>5.2939999999999996</v>
      </c>
      <c r="K12">
        <v>0</v>
      </c>
      <c r="L12">
        <v>0</v>
      </c>
      <c r="M12">
        <v>0</v>
      </c>
      <c r="N12">
        <v>284.79622244569998</v>
      </c>
      <c r="O12">
        <v>15.987368865140001</v>
      </c>
      <c r="P12">
        <v>3747.72</v>
      </c>
      <c r="V12">
        <v>15.958</v>
      </c>
      <c r="W12">
        <v>17.585999999999999</v>
      </c>
      <c r="X12" t="s">
        <v>150</v>
      </c>
    </row>
    <row r="13" spans="1:55" x14ac:dyDescent="0.2">
      <c r="A13" t="s">
        <v>164</v>
      </c>
      <c r="I13">
        <v>5792</v>
      </c>
      <c r="K13">
        <v>0</v>
      </c>
      <c r="L13">
        <v>0</v>
      </c>
      <c r="M13">
        <v>0</v>
      </c>
      <c r="N13">
        <v>276.67545984469001</v>
      </c>
      <c r="O13">
        <v>14.0128749692</v>
      </c>
      <c r="P13">
        <v>2046.66</v>
      </c>
      <c r="R13">
        <v>16.870684000000001</v>
      </c>
      <c r="V13">
        <v>17.097000000000001</v>
      </c>
      <c r="W13">
        <v>18.082999999999998</v>
      </c>
    </row>
    <row r="14" spans="1:55" x14ac:dyDescent="0.2">
      <c r="A14" t="s">
        <v>156</v>
      </c>
      <c r="I14">
        <v>5775</v>
      </c>
      <c r="J14">
        <v>5.1109999999999998</v>
      </c>
      <c r="K14">
        <v>0</v>
      </c>
      <c r="L14">
        <v>0</v>
      </c>
      <c r="M14">
        <v>0</v>
      </c>
      <c r="N14">
        <v>274.00302978329</v>
      </c>
      <c r="O14">
        <v>22.9885348444</v>
      </c>
      <c r="P14">
        <v>1802.37</v>
      </c>
      <c r="V14">
        <v>12.961</v>
      </c>
      <c r="W14">
        <v>14.082000000000001</v>
      </c>
      <c r="X14" t="s">
        <v>150</v>
      </c>
    </row>
    <row r="15" spans="1:55" x14ac:dyDescent="0.2">
      <c r="A15" t="s">
        <v>158</v>
      </c>
      <c r="I15">
        <v>5800</v>
      </c>
      <c r="J15">
        <v>1.417</v>
      </c>
      <c r="K15">
        <v>1.04</v>
      </c>
      <c r="L15">
        <v>0</v>
      </c>
      <c r="M15">
        <v>4.1520999999999999</v>
      </c>
      <c r="N15">
        <v>280.34203579685999</v>
      </c>
      <c r="O15">
        <v>26.315625519600001</v>
      </c>
      <c r="P15">
        <v>897.52700000000004</v>
      </c>
      <c r="V15">
        <v>13.994999999999999</v>
      </c>
      <c r="W15">
        <v>14.913</v>
      </c>
      <c r="X15" t="s">
        <v>148</v>
      </c>
    </row>
    <row r="16" spans="1:55" x14ac:dyDescent="0.2">
      <c r="A16" t="s">
        <v>155</v>
      </c>
      <c r="I16">
        <v>5806</v>
      </c>
      <c r="J16">
        <v>27.986999999999998</v>
      </c>
      <c r="K16">
        <v>0</v>
      </c>
      <c r="L16">
        <v>0</v>
      </c>
      <c r="M16">
        <v>0</v>
      </c>
      <c r="N16">
        <v>278.48921850735002</v>
      </c>
      <c r="O16">
        <v>31.640052119060002</v>
      </c>
      <c r="P16">
        <v>7397.91</v>
      </c>
      <c r="V16">
        <v>12.01</v>
      </c>
      <c r="W16">
        <v>12.507</v>
      </c>
      <c r="X16" t="s">
        <v>150</v>
      </c>
    </row>
    <row r="17" spans="1:24" x14ac:dyDescent="0.2">
      <c r="A17" t="s">
        <v>153</v>
      </c>
      <c r="I17">
        <v>5815.4</v>
      </c>
      <c r="J17">
        <v>4.2549999999999999</v>
      </c>
      <c r="K17">
        <v>0</v>
      </c>
      <c r="L17">
        <v>-0.19350000000000001</v>
      </c>
      <c r="M17">
        <v>0</v>
      </c>
      <c r="N17">
        <v>80.600252814719994</v>
      </c>
      <c r="O17">
        <v>-68.64221652773</v>
      </c>
      <c r="P17">
        <v>398.375</v>
      </c>
      <c r="V17">
        <v>11.137</v>
      </c>
      <c r="W17">
        <v>11.56</v>
      </c>
      <c r="X17" t="s">
        <v>150</v>
      </c>
    </row>
    <row r="18" spans="1:24" x14ac:dyDescent="0.2">
      <c r="A18" t="s">
        <v>152</v>
      </c>
      <c r="I18">
        <v>5812</v>
      </c>
      <c r="J18">
        <v>0.85599999999999998</v>
      </c>
      <c r="K18">
        <v>1.0449999999999999</v>
      </c>
      <c r="L18">
        <v>0</v>
      </c>
      <c r="M18">
        <v>4.5917000000000003</v>
      </c>
      <c r="N18">
        <v>47.805523543809997</v>
      </c>
      <c r="O18">
        <v>-18.380477788619999</v>
      </c>
      <c r="P18">
        <v>147.77799999999999</v>
      </c>
      <c r="V18">
        <v>11.044</v>
      </c>
      <c r="W18">
        <v>11.662000000000001</v>
      </c>
      <c r="X18" t="s">
        <v>148</v>
      </c>
    </row>
    <row r="19" spans="1:24" x14ac:dyDescent="0.2">
      <c r="A19" t="s">
        <v>106</v>
      </c>
      <c r="B19" t="s">
        <v>20</v>
      </c>
      <c r="C19">
        <v>4.4652997599999997</v>
      </c>
      <c r="D19">
        <v>5.561E-2</v>
      </c>
      <c r="E19">
        <v>1.319</v>
      </c>
      <c r="F19">
        <v>0.52500000000000002</v>
      </c>
      <c r="G19">
        <v>1322</v>
      </c>
      <c r="H19" t="s">
        <v>27</v>
      </c>
      <c r="I19">
        <v>5980</v>
      </c>
      <c r="J19">
        <v>1.1739999999999999</v>
      </c>
      <c r="K19">
        <v>1.151</v>
      </c>
      <c r="L19">
        <v>0.13</v>
      </c>
      <c r="M19">
        <v>4.359</v>
      </c>
      <c r="N19">
        <v>344.44536319999997</v>
      </c>
      <c r="O19">
        <v>38.674919000000003</v>
      </c>
      <c r="P19">
        <v>158.97900000000001</v>
      </c>
      <c r="Q19">
        <v>9.827</v>
      </c>
      <c r="R19">
        <v>10.178599999999999</v>
      </c>
      <c r="S19">
        <f>(0.000000000000000138*G19/(1.673534E-24*1.3*0.000000066726*F19*1.8986E+30/(E19*7149200000)^2))/100000</f>
        <v>1121.1126749906216</v>
      </c>
      <c r="T19">
        <f>IF(I19&gt;6800,-7,-5)</f>
        <v>-5</v>
      </c>
    </row>
    <row r="20" spans="1:24" x14ac:dyDescent="0.2">
      <c r="A20" t="s">
        <v>124</v>
      </c>
      <c r="B20" t="s">
        <v>20</v>
      </c>
      <c r="C20">
        <v>4.6276700000000002</v>
      </c>
      <c r="D20">
        <v>5.96E-2</v>
      </c>
      <c r="E20">
        <v>1.42</v>
      </c>
      <c r="F20">
        <v>3.44</v>
      </c>
      <c r="G20">
        <v>1624</v>
      </c>
      <c r="H20" t="s">
        <v>125</v>
      </c>
      <c r="I20">
        <v>6600</v>
      </c>
      <c r="J20">
        <v>1.82</v>
      </c>
      <c r="K20">
        <v>2.65</v>
      </c>
      <c r="L20">
        <v>0.11</v>
      </c>
      <c r="M20">
        <v>4.25</v>
      </c>
      <c r="N20">
        <v>260.11617189999998</v>
      </c>
      <c r="O20">
        <v>38.242168200000002</v>
      </c>
      <c r="P20">
        <v>222.66300000000001</v>
      </c>
      <c r="Q20">
        <v>9.9879999999999995</v>
      </c>
      <c r="R20">
        <v>9.8728300000000004</v>
      </c>
      <c r="S20">
        <f>(0.000000000000000138*G20/(1.673534E-24*1.3*0.000000066726*F20*1.8986E+30/(E20*7149200000)^2))/100000</f>
        <v>243.60813720463176</v>
      </c>
      <c r="T20">
        <f>IF(I20&gt;6800,-7,-5)</f>
        <v>-5</v>
      </c>
    </row>
    <row r="21" spans="1:24" x14ac:dyDescent="0.2">
      <c r="A21" t="s">
        <v>58</v>
      </c>
      <c r="B21" t="s">
        <v>20</v>
      </c>
      <c r="C21">
        <v>5.6335157999999996</v>
      </c>
      <c r="D21">
        <v>6.8140000000000006E-2</v>
      </c>
      <c r="E21">
        <v>0.95099999999999996</v>
      </c>
      <c r="F21">
        <v>9.02</v>
      </c>
      <c r="G21">
        <v>1540</v>
      </c>
      <c r="H21" t="s">
        <v>54</v>
      </c>
      <c r="I21">
        <v>6380</v>
      </c>
      <c r="J21">
        <v>1.39</v>
      </c>
      <c r="K21">
        <v>1.33</v>
      </c>
      <c r="L21">
        <v>0.18</v>
      </c>
      <c r="M21">
        <v>4.16</v>
      </c>
      <c r="N21">
        <v>245.1514324</v>
      </c>
      <c r="O21">
        <v>41.047960099999997</v>
      </c>
      <c r="P21">
        <v>127.774</v>
      </c>
      <c r="Q21">
        <v>8.7200000000000006</v>
      </c>
      <c r="R21">
        <v>8.5984200000000008</v>
      </c>
      <c r="S21">
        <f>(0.000000000000000138*G21/(1.673534E-24*1.3*0.000000066726*F21*1.8986E+30/(E21*7149200000)^2))/100000</f>
        <v>39.515068300859213</v>
      </c>
      <c r="T21">
        <f>IF(I21&gt;6800,-7,-5)</f>
        <v>-5</v>
      </c>
    </row>
    <row r="22" spans="1:24" x14ac:dyDescent="0.2">
      <c r="A22" t="s">
        <v>93</v>
      </c>
      <c r="B22" t="s">
        <v>20</v>
      </c>
      <c r="C22">
        <v>3.2122199999999999</v>
      </c>
      <c r="D22">
        <v>4.1399999999999999E-2</v>
      </c>
      <c r="E22">
        <v>1.1499999999999999</v>
      </c>
      <c r="F22">
        <v>2.4700000000000002</v>
      </c>
      <c r="G22">
        <v>1463</v>
      </c>
      <c r="H22" t="s">
        <v>94</v>
      </c>
      <c r="I22">
        <v>5302</v>
      </c>
      <c r="J22">
        <v>1.1100000000000001</v>
      </c>
      <c r="K22">
        <v>1.1299999999999999</v>
      </c>
      <c r="L22">
        <v>0.24</v>
      </c>
      <c r="M22">
        <v>4.3600000000000003</v>
      </c>
      <c r="N22">
        <v>155.6814593</v>
      </c>
      <c r="O22">
        <v>50.128711500000001</v>
      </c>
      <c r="P22">
        <v>81.764700000000005</v>
      </c>
      <c r="Q22">
        <v>9.7629999999999999</v>
      </c>
      <c r="R22">
        <v>9.5193600000000007</v>
      </c>
      <c r="S22">
        <f>(0.000000000000000138*G22/(1.673534E-24*1.3*0.000000066726*F22*1.8986E+30/(E22*7149200000)^2))/100000</f>
        <v>200.46131426194896</v>
      </c>
      <c r="T22">
        <f>IF(I22&gt;6800,-7,-5)</f>
        <v>-5</v>
      </c>
    </row>
    <row r="23" spans="1:24" x14ac:dyDescent="0.2">
      <c r="A23" t="s">
        <v>139</v>
      </c>
      <c r="I23">
        <v>6245.11328125</v>
      </c>
      <c r="J23">
        <v>1.208241820335388</v>
      </c>
      <c r="M23">
        <v>4.2744002342224121</v>
      </c>
      <c r="N23">
        <v>31.04275939878713</v>
      </c>
      <c r="O23">
        <v>46.687851647860192</v>
      </c>
      <c r="P23">
        <v>283.38339999999999</v>
      </c>
      <c r="Q23">
        <v>11.12930202484131</v>
      </c>
      <c r="R23">
        <v>11.12930202484131</v>
      </c>
      <c r="V23" s="4"/>
    </row>
    <row r="24" spans="1:24" x14ac:dyDescent="0.2">
      <c r="A24" t="s">
        <v>88</v>
      </c>
      <c r="B24" t="s">
        <v>20</v>
      </c>
      <c r="C24">
        <v>4.7947813000000004</v>
      </c>
      <c r="D24">
        <v>6.2770000000000006E-2</v>
      </c>
      <c r="E24">
        <v>1.631</v>
      </c>
      <c r="F24">
        <v>0.57399999999999995</v>
      </c>
      <c r="G24">
        <v>1772</v>
      </c>
      <c r="I24">
        <v>6212</v>
      </c>
      <c r="J24">
        <v>2.1970000000000001</v>
      </c>
      <c r="K24">
        <v>1.4350000000000001</v>
      </c>
      <c r="L24">
        <v>3.6999999999999998E-2</v>
      </c>
      <c r="M24">
        <v>3.9114</v>
      </c>
      <c r="N24">
        <v>28.282571900000001</v>
      </c>
      <c r="O24">
        <v>52.053920900000001</v>
      </c>
      <c r="P24">
        <v>233.22</v>
      </c>
      <c r="Q24">
        <v>9.7270000000000003</v>
      </c>
      <c r="R24">
        <v>9.5635499999999993</v>
      </c>
      <c r="S24">
        <f>(0.000000000000000138*G24/(1.673534E-24*1.3*0.000000066726*F24*1.8986E+30/(E24*7149200000)^2))/100000</f>
        <v>2101.5864855136347</v>
      </c>
      <c r="T24">
        <f>IF(I24&gt;6800,-7,-5)</f>
        <v>-5</v>
      </c>
      <c r="V24" s="4"/>
    </row>
    <row r="25" spans="1:24" x14ac:dyDescent="0.2">
      <c r="A25" t="s">
        <v>95</v>
      </c>
      <c r="B25" t="s">
        <v>20</v>
      </c>
      <c r="C25">
        <v>4.7869491000000002</v>
      </c>
      <c r="D25">
        <v>6.5549999999999997E-2</v>
      </c>
      <c r="E25">
        <v>1.6759999999999999</v>
      </c>
      <c r="F25">
        <v>3.58</v>
      </c>
      <c r="G25">
        <v>1930</v>
      </c>
      <c r="I25">
        <v>7394</v>
      </c>
      <c r="J25">
        <v>1.9259999999999999</v>
      </c>
      <c r="K25">
        <v>1.6479999999999999</v>
      </c>
      <c r="L25">
        <v>-6.9000000000000006E-2</v>
      </c>
      <c r="M25">
        <v>4.1100000000000003</v>
      </c>
      <c r="N25">
        <v>130.5056385</v>
      </c>
      <c r="O25">
        <v>3.7105662000000001</v>
      </c>
      <c r="P25">
        <v>341.26299999999998</v>
      </c>
      <c r="Q25">
        <v>9.7739999999999991</v>
      </c>
      <c r="R25">
        <v>9.77332</v>
      </c>
      <c r="S25">
        <f>(0.000000000000000138*G25/(1.673534E-24*1.3*0.000000066726*F25*1.8986E+30/(E25*7149200000)^2))/100000</f>
        <v>387.53401759458865</v>
      </c>
      <c r="T25">
        <f>IF(I25&gt;6800,-7,-5)</f>
        <v>-7</v>
      </c>
    </row>
    <row r="26" spans="1:24" x14ac:dyDescent="0.2">
      <c r="A26" t="s">
        <v>140</v>
      </c>
      <c r="I26">
        <v>6424.27685546875</v>
      </c>
      <c r="J26">
        <v>2.0702402591705318</v>
      </c>
      <c r="N26">
        <v>292.24718620018581</v>
      </c>
      <c r="O26">
        <v>47.969544064101818</v>
      </c>
      <c r="Q26">
        <v>10.36768245697021</v>
      </c>
      <c r="R26">
        <v>10.36768245697021</v>
      </c>
    </row>
    <row r="27" spans="1:24" x14ac:dyDescent="0.2">
      <c r="A27" t="s">
        <v>78</v>
      </c>
      <c r="B27" t="s">
        <v>20</v>
      </c>
      <c r="C27">
        <v>2.7443245200000002</v>
      </c>
      <c r="D27">
        <v>4.7390000000000002E-2</v>
      </c>
      <c r="E27">
        <v>1.87</v>
      </c>
      <c r="F27">
        <v>6.78</v>
      </c>
      <c r="G27">
        <v>2562</v>
      </c>
      <c r="I27">
        <v>8450</v>
      </c>
      <c r="J27">
        <v>1.8580000000000001</v>
      </c>
      <c r="K27">
        <v>1.89</v>
      </c>
      <c r="L27">
        <v>-5.8999999999999997E-2</v>
      </c>
      <c r="M27">
        <v>4.181</v>
      </c>
      <c r="N27">
        <v>74.552333200000007</v>
      </c>
      <c r="O27">
        <v>9.9979794000000002</v>
      </c>
      <c r="P27">
        <v>330.73899999999998</v>
      </c>
      <c r="Q27">
        <v>9.4700000000000006</v>
      </c>
      <c r="R27">
        <v>9.4517399999999991</v>
      </c>
      <c r="S27">
        <f t="shared" ref="S27:S51" si="0">(0.000000000000000138*G27/(1.673534E-24*1.3*0.000000066726*F27*1.8986E+30/(E27*7149200000)^2))/100000</f>
        <v>338.15838787809196</v>
      </c>
      <c r="T27">
        <f t="shared" ref="T27:T50" si="1">IF(I27&gt;6800,-7,-5)</f>
        <v>-7</v>
      </c>
      <c r="V27" s="4"/>
    </row>
    <row r="28" spans="1:24" x14ac:dyDescent="0.2">
      <c r="A28" t="s">
        <v>38</v>
      </c>
      <c r="B28" t="s">
        <v>26</v>
      </c>
      <c r="C28">
        <v>6.1349779</v>
      </c>
      <c r="D28">
        <v>7.1300000000000002E-2</v>
      </c>
      <c r="E28">
        <v>1.1399999999999999</v>
      </c>
      <c r="F28">
        <v>2.14</v>
      </c>
      <c r="G28">
        <v>1361</v>
      </c>
      <c r="H28" t="s">
        <v>39</v>
      </c>
      <c r="I28">
        <v>5742</v>
      </c>
      <c r="J28">
        <v>2.04</v>
      </c>
      <c r="K28">
        <v>1.27</v>
      </c>
      <c r="L28">
        <v>0.28699999999999998</v>
      </c>
      <c r="M28">
        <v>3.92</v>
      </c>
      <c r="N28">
        <v>203.50995599999999</v>
      </c>
      <c r="O28">
        <v>53.728187599999998</v>
      </c>
      <c r="P28">
        <v>92.258899999999997</v>
      </c>
      <c r="Q28">
        <v>8.0500000000000007</v>
      </c>
      <c r="R28">
        <v>7.89255</v>
      </c>
      <c r="S28">
        <f t="shared" si="0"/>
        <v>211.51519610586323</v>
      </c>
      <c r="T28">
        <f t="shared" si="1"/>
        <v>-5</v>
      </c>
    </row>
    <row r="29" spans="1:24" x14ac:dyDescent="0.2">
      <c r="A29" t="s">
        <v>30</v>
      </c>
      <c r="B29" t="s">
        <v>20</v>
      </c>
      <c r="C29">
        <v>11.53533</v>
      </c>
      <c r="D29">
        <v>0.10970000000000001</v>
      </c>
      <c r="E29">
        <v>1.026</v>
      </c>
      <c r="F29">
        <v>0.41499999999999998</v>
      </c>
      <c r="G29">
        <v>1228.3</v>
      </c>
      <c r="H29" t="s">
        <v>31</v>
      </c>
      <c r="I29">
        <v>5521</v>
      </c>
      <c r="J29">
        <v>2.3359999999999999</v>
      </c>
      <c r="K29">
        <v>1.3240000000000001</v>
      </c>
      <c r="L29">
        <v>0.28999999999999998</v>
      </c>
      <c r="M29">
        <v>3.823</v>
      </c>
      <c r="N29">
        <v>4.4471631</v>
      </c>
      <c r="O29">
        <v>-66.358928500000005</v>
      </c>
      <c r="P29">
        <v>79.5702</v>
      </c>
      <c r="Q29">
        <v>7.79</v>
      </c>
      <c r="R29">
        <v>7.5933599999999997</v>
      </c>
      <c r="S29">
        <f t="shared" si="0"/>
        <v>797.33090232058362</v>
      </c>
      <c r="T29">
        <f t="shared" si="1"/>
        <v>-5</v>
      </c>
    </row>
    <row r="30" spans="1:24" x14ac:dyDescent="0.2">
      <c r="A30" t="s">
        <v>42</v>
      </c>
      <c r="B30" t="s">
        <v>26</v>
      </c>
      <c r="C30">
        <v>2.8758900000000001</v>
      </c>
      <c r="D30">
        <v>4.3639999999999998E-2</v>
      </c>
      <c r="E30">
        <v>0.74</v>
      </c>
      <c r="F30">
        <v>0.38</v>
      </c>
      <c r="G30">
        <v>1626</v>
      </c>
      <c r="H30" t="s">
        <v>43</v>
      </c>
      <c r="I30">
        <v>6179</v>
      </c>
      <c r="J30">
        <v>1.41</v>
      </c>
      <c r="K30">
        <v>1.42</v>
      </c>
      <c r="L30">
        <v>0.32</v>
      </c>
      <c r="M30">
        <v>4.37</v>
      </c>
      <c r="N30">
        <v>247.62298269999999</v>
      </c>
      <c r="O30">
        <v>38.347534899999999</v>
      </c>
      <c r="P30">
        <v>75.8643</v>
      </c>
      <c r="Q30">
        <v>8.15</v>
      </c>
      <c r="R30">
        <v>8.0141600000000004</v>
      </c>
      <c r="S30">
        <f t="shared" si="0"/>
        <v>599.63628364223177</v>
      </c>
      <c r="T30">
        <f t="shared" si="1"/>
        <v>-5</v>
      </c>
      <c r="V30" s="4"/>
    </row>
    <row r="31" spans="1:24" x14ac:dyDescent="0.2">
      <c r="A31" t="s">
        <v>59</v>
      </c>
      <c r="B31" t="s">
        <v>20</v>
      </c>
      <c r="C31">
        <v>19.502103999999999</v>
      </c>
      <c r="D31">
        <v>0.1482</v>
      </c>
      <c r="E31">
        <v>0.52993221999999995</v>
      </c>
      <c r="F31">
        <v>3.0425219999999999E-2</v>
      </c>
      <c r="G31">
        <v>253.08</v>
      </c>
      <c r="H31" t="s">
        <v>43</v>
      </c>
      <c r="I31">
        <v>6310</v>
      </c>
      <c r="J31">
        <v>1.43</v>
      </c>
      <c r="K31">
        <v>1.1499999999999999</v>
      </c>
      <c r="L31">
        <v>-0.16</v>
      </c>
      <c r="M31">
        <v>4.1900000000000004</v>
      </c>
      <c r="N31">
        <v>253.78488530000001</v>
      </c>
      <c r="O31">
        <v>20.491523999999998</v>
      </c>
      <c r="P31">
        <v>107.898</v>
      </c>
      <c r="Q31">
        <v>8.8550000000000004</v>
      </c>
      <c r="R31">
        <v>8.7641200000000001</v>
      </c>
      <c r="S31">
        <f t="shared" si="0"/>
        <v>597.79498778467087</v>
      </c>
      <c r="T31">
        <f t="shared" si="1"/>
        <v>-5</v>
      </c>
    </row>
    <row r="32" spans="1:24" x14ac:dyDescent="0.2">
      <c r="A32" t="s">
        <v>28</v>
      </c>
      <c r="B32" t="s">
        <v>26</v>
      </c>
      <c r="C32">
        <v>2.2185756699999999</v>
      </c>
      <c r="D32">
        <v>3.1260000000000003E-2</v>
      </c>
      <c r="E32">
        <v>1.1299999999999999</v>
      </c>
      <c r="F32">
        <v>1.1299999999999999</v>
      </c>
      <c r="G32">
        <v>1209</v>
      </c>
      <c r="H32" t="s">
        <v>29</v>
      </c>
      <c r="I32">
        <v>5052</v>
      </c>
      <c r="J32">
        <v>0.75</v>
      </c>
      <c r="K32">
        <v>0.79</v>
      </c>
      <c r="L32">
        <v>-0.02</v>
      </c>
      <c r="M32">
        <v>4.49</v>
      </c>
      <c r="N32">
        <v>300.1821223</v>
      </c>
      <c r="O32">
        <v>22.7097759</v>
      </c>
      <c r="P32">
        <v>19.7638</v>
      </c>
      <c r="Q32">
        <v>7.67</v>
      </c>
      <c r="R32">
        <v>7.41432</v>
      </c>
      <c r="S32">
        <f t="shared" si="0"/>
        <v>349.61677638948368</v>
      </c>
      <c r="T32">
        <f t="shared" si="1"/>
        <v>-5</v>
      </c>
      <c r="V32" s="4"/>
    </row>
    <row r="33" spans="1:21" x14ac:dyDescent="0.2">
      <c r="A33" t="s">
        <v>50</v>
      </c>
      <c r="B33" t="s">
        <v>20</v>
      </c>
      <c r="C33">
        <v>3.3089580000000001</v>
      </c>
      <c r="D33">
        <v>5.2080000000000001E-2</v>
      </c>
      <c r="E33">
        <v>1.5449999999999999</v>
      </c>
      <c r="F33">
        <v>1.0169999999999999</v>
      </c>
      <c r="G33">
        <v>2132</v>
      </c>
      <c r="I33">
        <v>6272</v>
      </c>
      <c r="J33">
        <v>2.5910000000000002</v>
      </c>
      <c r="K33">
        <v>1.72</v>
      </c>
      <c r="L33">
        <v>0.3</v>
      </c>
      <c r="M33">
        <v>3.8479999999999999</v>
      </c>
      <c r="N33">
        <v>319.6995877</v>
      </c>
      <c r="O33">
        <v>-26.6163743</v>
      </c>
      <c r="P33">
        <v>161.49799999999999</v>
      </c>
      <c r="Q33">
        <v>8.3239999999999998</v>
      </c>
      <c r="R33">
        <v>8.2268799999999995</v>
      </c>
      <c r="S33">
        <f t="shared" si="0"/>
        <v>1280.5918535006856</v>
      </c>
      <c r="T33">
        <f t="shared" si="1"/>
        <v>-5</v>
      </c>
    </row>
    <row r="34" spans="1:21" x14ac:dyDescent="0.2">
      <c r="A34" t="s">
        <v>25</v>
      </c>
      <c r="B34" t="s">
        <v>26</v>
      </c>
      <c r="C34">
        <v>3.5247485900000002</v>
      </c>
      <c r="D34">
        <v>4.7070000000000001E-2</v>
      </c>
      <c r="E34">
        <v>1.39</v>
      </c>
      <c r="F34">
        <v>0.73</v>
      </c>
      <c r="G34">
        <v>1459</v>
      </c>
      <c r="H34" t="s">
        <v>27</v>
      </c>
      <c r="I34">
        <v>6091</v>
      </c>
      <c r="J34">
        <v>1.19</v>
      </c>
      <c r="K34">
        <v>1.23</v>
      </c>
      <c r="L34">
        <v>0.01</v>
      </c>
      <c r="M34">
        <v>4.45</v>
      </c>
      <c r="N34">
        <v>330.79502189999999</v>
      </c>
      <c r="O34">
        <v>18.884241899999999</v>
      </c>
      <c r="P34">
        <v>48.301600000000001</v>
      </c>
      <c r="Q34">
        <v>7.65</v>
      </c>
      <c r="R34">
        <v>7.5086599999999999</v>
      </c>
      <c r="S34" s="5">
        <f t="shared" si="0"/>
        <v>988.21070019970352</v>
      </c>
      <c r="T34">
        <f t="shared" si="1"/>
        <v>-5</v>
      </c>
    </row>
    <row r="35" spans="1:21" x14ac:dyDescent="0.2">
      <c r="A35" t="s">
        <v>101</v>
      </c>
      <c r="B35" t="s">
        <v>20</v>
      </c>
      <c r="C35">
        <v>6.0344680000000004</v>
      </c>
      <c r="D35">
        <v>6.3560000000000005E-2</v>
      </c>
      <c r="E35">
        <v>0.437</v>
      </c>
      <c r="F35">
        <v>5.5E-2</v>
      </c>
      <c r="G35">
        <v>1076</v>
      </c>
      <c r="H35" t="s">
        <v>94</v>
      </c>
      <c r="I35">
        <v>5540</v>
      </c>
      <c r="J35">
        <v>1.0589999999999999</v>
      </c>
      <c r="K35">
        <v>1.02</v>
      </c>
      <c r="L35">
        <v>0.04</v>
      </c>
      <c r="M35">
        <v>4.4000000000000004</v>
      </c>
      <c r="N35">
        <v>349.55926649999998</v>
      </c>
      <c r="O35">
        <v>-56.9039857</v>
      </c>
      <c r="P35">
        <v>94.171899999999994</v>
      </c>
      <c r="Q35">
        <v>9.8089999999999993</v>
      </c>
      <c r="R35">
        <v>9.6495599999999992</v>
      </c>
      <c r="S35">
        <f t="shared" si="0"/>
        <v>956.09264119622901</v>
      </c>
      <c r="T35">
        <f t="shared" si="1"/>
        <v>-5</v>
      </c>
    </row>
    <row r="36" spans="1:21" x14ac:dyDescent="0.2">
      <c r="A36" t="s">
        <v>44</v>
      </c>
      <c r="B36" t="s">
        <v>20</v>
      </c>
      <c r="C36">
        <v>14.2767</v>
      </c>
      <c r="D36">
        <v>0.12280000000000001</v>
      </c>
      <c r="E36">
        <v>0.83599999999999997</v>
      </c>
      <c r="F36">
        <v>0.19</v>
      </c>
      <c r="G36">
        <v>789.15</v>
      </c>
      <c r="H36" t="s">
        <v>45</v>
      </c>
      <c r="I36">
        <v>5080</v>
      </c>
      <c r="J36">
        <v>2.9430000000000001</v>
      </c>
      <c r="K36">
        <v>1.212</v>
      </c>
      <c r="L36">
        <v>-0.08</v>
      </c>
      <c r="M36">
        <v>3.5840000000000001</v>
      </c>
      <c r="N36">
        <v>353.03318630000001</v>
      </c>
      <c r="O36">
        <v>-21.801200699999999</v>
      </c>
      <c r="P36">
        <v>95.548299999999998</v>
      </c>
      <c r="Q36">
        <v>8.15</v>
      </c>
      <c r="R36">
        <v>7.9077599999999997</v>
      </c>
      <c r="S36">
        <f t="shared" si="0"/>
        <v>742.8583931109747</v>
      </c>
      <c r="T36">
        <f t="shared" si="1"/>
        <v>-5</v>
      </c>
    </row>
    <row r="37" spans="1:21" x14ac:dyDescent="0.2">
      <c r="A37" t="s">
        <v>86</v>
      </c>
      <c r="B37" t="s">
        <v>20</v>
      </c>
      <c r="C37">
        <v>4.1268799999999999</v>
      </c>
      <c r="D37">
        <v>5.6800000000000003E-2</v>
      </c>
      <c r="E37">
        <v>1.44</v>
      </c>
      <c r="F37">
        <v>1.17</v>
      </c>
      <c r="G37">
        <v>2061</v>
      </c>
      <c r="I37">
        <v>6801</v>
      </c>
      <c r="J37">
        <v>1.56</v>
      </c>
      <c r="K37">
        <v>1.43</v>
      </c>
      <c r="L37">
        <v>0.02</v>
      </c>
      <c r="M37">
        <v>4.21</v>
      </c>
      <c r="N37">
        <v>7.3289156000000002</v>
      </c>
      <c r="O37">
        <v>-76.304032000000007</v>
      </c>
      <c r="P37">
        <v>196.852</v>
      </c>
      <c r="Q37">
        <v>9.5950000000000006</v>
      </c>
      <c r="R37">
        <v>9.5202500000000008</v>
      </c>
      <c r="S37">
        <f t="shared" si="0"/>
        <v>934.76971602454307</v>
      </c>
      <c r="T37">
        <f t="shared" si="1"/>
        <v>-7</v>
      </c>
      <c r="U37" s="1" t="s">
        <v>137</v>
      </c>
    </row>
    <row r="38" spans="1:21" x14ac:dyDescent="0.2">
      <c r="A38" t="s">
        <v>53</v>
      </c>
      <c r="B38" t="s">
        <v>20</v>
      </c>
      <c r="C38">
        <v>18.712024</v>
      </c>
      <c r="D38">
        <v>0.14499999999999999</v>
      </c>
      <c r="E38">
        <v>0.80944318999999998</v>
      </c>
      <c r="F38">
        <v>0.23314467</v>
      </c>
      <c r="G38">
        <v>798.3</v>
      </c>
      <c r="H38" t="s">
        <v>54</v>
      </c>
      <c r="I38">
        <v>6128</v>
      </c>
      <c r="J38">
        <v>1.266</v>
      </c>
      <c r="K38">
        <v>1.1641999999999999</v>
      </c>
      <c r="L38">
        <v>4.2999999999999997E-2</v>
      </c>
      <c r="M38">
        <v>4.2960000000000003</v>
      </c>
      <c r="N38">
        <v>306.74113399999999</v>
      </c>
      <c r="O38">
        <v>33.744388200000003</v>
      </c>
      <c r="P38">
        <v>80.666499999999999</v>
      </c>
      <c r="Q38">
        <v>8.5579999999999998</v>
      </c>
      <c r="R38">
        <v>8.4183900000000005</v>
      </c>
      <c r="S38">
        <f t="shared" si="0"/>
        <v>574.11765847468712</v>
      </c>
      <c r="T38">
        <f t="shared" si="1"/>
        <v>-5</v>
      </c>
    </row>
    <row r="39" spans="1:21" x14ac:dyDescent="0.2">
      <c r="A39" t="s">
        <v>32</v>
      </c>
      <c r="B39" t="s">
        <v>26</v>
      </c>
      <c r="C39">
        <v>3.4148839999999998</v>
      </c>
      <c r="D39">
        <v>4.7899999999999998E-2</v>
      </c>
      <c r="E39">
        <v>1.23</v>
      </c>
      <c r="F39">
        <v>1.02</v>
      </c>
      <c r="G39">
        <v>1762</v>
      </c>
      <c r="H39" t="s">
        <v>33</v>
      </c>
      <c r="I39">
        <v>5392</v>
      </c>
      <c r="J39">
        <v>2.2000000000000002</v>
      </c>
      <c r="K39">
        <v>1.26</v>
      </c>
      <c r="L39">
        <v>0.34</v>
      </c>
      <c r="M39">
        <v>3.88</v>
      </c>
      <c r="N39">
        <v>152.53193490000001</v>
      </c>
      <c r="O39">
        <v>18.185728399999999</v>
      </c>
      <c r="P39">
        <v>73.612300000000005</v>
      </c>
      <c r="Q39">
        <v>8.0185200000000005</v>
      </c>
      <c r="R39">
        <v>7.8097899999999996</v>
      </c>
      <c r="S39">
        <f t="shared" si="0"/>
        <v>668.81110409377118</v>
      </c>
      <c r="T39">
        <f t="shared" si="1"/>
        <v>-5</v>
      </c>
    </row>
    <row r="40" spans="1:21" x14ac:dyDescent="0.2">
      <c r="A40" t="s">
        <v>75</v>
      </c>
      <c r="B40" t="s">
        <v>20</v>
      </c>
      <c r="C40">
        <v>11.814299999999999</v>
      </c>
      <c r="D40">
        <v>0.1066</v>
      </c>
      <c r="E40">
        <v>0.66</v>
      </c>
      <c r="F40">
        <v>0.11</v>
      </c>
      <c r="G40">
        <v>1089</v>
      </c>
      <c r="H40" t="s">
        <v>33</v>
      </c>
      <c r="I40">
        <v>5576</v>
      </c>
      <c r="J40">
        <v>1.7470000000000001</v>
      </c>
      <c r="K40">
        <v>1.157</v>
      </c>
      <c r="L40">
        <v>0.42099999999999999</v>
      </c>
      <c r="M40">
        <v>4.016</v>
      </c>
      <c r="N40">
        <v>154.67109769999999</v>
      </c>
      <c r="O40">
        <v>10.1288464</v>
      </c>
      <c r="P40">
        <v>132.345</v>
      </c>
      <c r="Q40">
        <v>9.3800000000000008</v>
      </c>
      <c r="R40">
        <v>9.2170199999999998</v>
      </c>
      <c r="S40">
        <f t="shared" si="0"/>
        <v>1103.5971886171305</v>
      </c>
      <c r="T40">
        <f t="shared" si="1"/>
        <v>-5</v>
      </c>
    </row>
    <row r="41" spans="1:21" x14ac:dyDescent="0.2">
      <c r="A41" t="s">
        <v>104</v>
      </c>
      <c r="B41" t="s">
        <v>20</v>
      </c>
      <c r="C41">
        <v>11.168454000000001</v>
      </c>
      <c r="D41">
        <v>0.10356</v>
      </c>
      <c r="E41">
        <v>1</v>
      </c>
      <c r="F41">
        <v>0.39800000000000002</v>
      </c>
      <c r="G41">
        <v>1030</v>
      </c>
      <c r="I41">
        <v>6154</v>
      </c>
      <c r="J41">
        <v>1.161</v>
      </c>
      <c r="K41">
        <v>1.1879999999999999</v>
      </c>
      <c r="L41">
        <v>0.1</v>
      </c>
      <c r="M41">
        <v>4.3789999999999996</v>
      </c>
      <c r="N41">
        <v>73.766792699999996</v>
      </c>
      <c r="O41">
        <v>18.654323000000002</v>
      </c>
      <c r="P41">
        <v>130.72</v>
      </c>
      <c r="Q41">
        <v>9.8219999999999992</v>
      </c>
      <c r="R41">
        <v>9.7262599999999999</v>
      </c>
      <c r="S41">
        <f t="shared" si="0"/>
        <v>662.28004924519439</v>
      </c>
      <c r="T41">
        <f t="shared" si="1"/>
        <v>-5</v>
      </c>
    </row>
    <row r="42" spans="1:21" x14ac:dyDescent="0.2">
      <c r="A42" t="s">
        <v>36</v>
      </c>
      <c r="B42" t="s">
        <v>20</v>
      </c>
      <c r="C42">
        <v>4.73620865</v>
      </c>
      <c r="D42">
        <v>6.2300000000000001E-2</v>
      </c>
      <c r="E42">
        <v>1.35</v>
      </c>
      <c r="F42">
        <v>0.20499999999999999</v>
      </c>
      <c r="G42">
        <v>1712</v>
      </c>
      <c r="H42" t="s">
        <v>37</v>
      </c>
      <c r="I42">
        <v>5375</v>
      </c>
      <c r="J42">
        <v>2.69</v>
      </c>
      <c r="K42">
        <v>1.44</v>
      </c>
      <c r="L42">
        <v>0.17</v>
      </c>
      <c r="M42">
        <v>3.7</v>
      </c>
      <c r="N42">
        <v>161.70690529999999</v>
      </c>
      <c r="O42">
        <v>-9.3993646000000002</v>
      </c>
      <c r="P42">
        <v>99.159599999999998</v>
      </c>
      <c r="Q42">
        <v>8.0399999999999991</v>
      </c>
      <c r="R42">
        <v>7.8311200000000003</v>
      </c>
      <c r="S42">
        <f t="shared" si="0"/>
        <v>3894.9775251994533</v>
      </c>
      <c r="T42">
        <f t="shared" si="1"/>
        <v>-5</v>
      </c>
    </row>
    <row r="43" spans="1:21" x14ac:dyDescent="0.2">
      <c r="A43" t="s">
        <v>67</v>
      </c>
      <c r="B43" t="s">
        <v>20</v>
      </c>
      <c r="C43">
        <v>3.0801715999999999</v>
      </c>
      <c r="D43">
        <v>4.8809999999999999E-2</v>
      </c>
      <c r="E43">
        <v>1.5249999999999999</v>
      </c>
      <c r="F43">
        <v>1.31</v>
      </c>
      <c r="G43">
        <v>2087</v>
      </c>
      <c r="H43" t="s">
        <v>41</v>
      </c>
      <c r="I43">
        <v>7454</v>
      </c>
      <c r="J43">
        <v>1.645</v>
      </c>
      <c r="K43">
        <v>1.635</v>
      </c>
      <c r="L43">
        <v>-1.7999999999999999E-2</v>
      </c>
      <c r="M43">
        <v>4.22</v>
      </c>
      <c r="N43">
        <v>125.617407</v>
      </c>
      <c r="O43">
        <v>13.735309300000001</v>
      </c>
      <c r="P43">
        <v>226.5</v>
      </c>
      <c r="Q43">
        <v>9.234</v>
      </c>
      <c r="R43">
        <v>9.2088699999999992</v>
      </c>
      <c r="S43">
        <f t="shared" si="0"/>
        <v>948.15286253702118</v>
      </c>
      <c r="T43">
        <f t="shared" si="1"/>
        <v>-7</v>
      </c>
    </row>
    <row r="44" spans="1:21" x14ac:dyDescent="0.2">
      <c r="A44" t="s">
        <v>109</v>
      </c>
      <c r="B44" t="s">
        <v>20</v>
      </c>
      <c r="C44">
        <v>4.6117093000000002</v>
      </c>
      <c r="D44">
        <v>6.3700000000000007E-2</v>
      </c>
      <c r="E44">
        <v>1.91</v>
      </c>
      <c r="F44">
        <v>4.07</v>
      </c>
      <c r="G44">
        <v>1935</v>
      </c>
      <c r="H44" t="s">
        <v>110</v>
      </c>
      <c r="I44">
        <v>7500</v>
      </c>
      <c r="J44">
        <v>1.83</v>
      </c>
      <c r="K44">
        <v>1.62</v>
      </c>
      <c r="L44">
        <v>-0.12</v>
      </c>
      <c r="M44">
        <v>4.1269999999999998</v>
      </c>
      <c r="N44">
        <v>111.5095293</v>
      </c>
      <c r="O44">
        <v>7.6157759</v>
      </c>
      <c r="P44">
        <v>300.27600000000001</v>
      </c>
      <c r="Q44">
        <v>9.8569999999999993</v>
      </c>
      <c r="R44">
        <v>9.8633100000000002</v>
      </c>
      <c r="S44">
        <f t="shared" si="0"/>
        <v>443.85469120292152</v>
      </c>
      <c r="T44">
        <f t="shared" si="1"/>
        <v>-7</v>
      </c>
    </row>
    <row r="45" spans="1:21" x14ac:dyDescent="0.2">
      <c r="A45" t="s">
        <v>57</v>
      </c>
      <c r="B45" t="s">
        <v>20</v>
      </c>
      <c r="C45">
        <v>4.1137899999999998</v>
      </c>
      <c r="D45">
        <v>5.4969999999999998E-2</v>
      </c>
      <c r="E45">
        <v>1.35</v>
      </c>
      <c r="F45">
        <v>1.7</v>
      </c>
      <c r="G45">
        <v>2080</v>
      </c>
      <c r="H45" t="s">
        <v>54</v>
      </c>
      <c r="I45">
        <v>6327</v>
      </c>
      <c r="J45">
        <v>1.93</v>
      </c>
      <c r="K45">
        <v>1.54</v>
      </c>
      <c r="L45">
        <v>0</v>
      </c>
      <c r="M45">
        <v>4.5</v>
      </c>
      <c r="N45">
        <v>92.664022599999996</v>
      </c>
      <c r="O45">
        <v>30.957133299999999</v>
      </c>
      <c r="P45">
        <v>134.05799999999999</v>
      </c>
      <c r="Q45">
        <v>8.68</v>
      </c>
      <c r="R45">
        <v>8.5839300000000005</v>
      </c>
      <c r="S45">
        <f t="shared" si="0"/>
        <v>570.64953846380126</v>
      </c>
      <c r="T45">
        <f t="shared" si="1"/>
        <v>-5</v>
      </c>
    </row>
    <row r="46" spans="1:21" x14ac:dyDescent="0.2">
      <c r="A46" t="s">
        <v>23</v>
      </c>
      <c r="B46" t="s">
        <v>20</v>
      </c>
      <c r="C46">
        <v>3.4741084999999998</v>
      </c>
      <c r="D46">
        <v>5.4199999999999998E-2</v>
      </c>
      <c r="E46">
        <v>1.7410000000000001</v>
      </c>
      <c r="F46">
        <v>3.3820000000000001</v>
      </c>
      <c r="G46">
        <v>2262</v>
      </c>
      <c r="H46" t="s">
        <v>24</v>
      </c>
      <c r="I46">
        <v>8720</v>
      </c>
      <c r="J46">
        <v>1.5649999999999999</v>
      </c>
      <c r="K46">
        <v>1.76</v>
      </c>
      <c r="L46">
        <v>-0.28999999999999998</v>
      </c>
      <c r="M46">
        <v>4.29</v>
      </c>
      <c r="N46">
        <v>294.66141260000001</v>
      </c>
      <c r="O46">
        <v>31.219200099999998</v>
      </c>
      <c r="P46">
        <v>136.42599999999999</v>
      </c>
      <c r="Q46">
        <v>7.59</v>
      </c>
      <c r="R46">
        <v>7.5749199999999997</v>
      </c>
      <c r="S46">
        <f t="shared" si="0"/>
        <v>518.80488815900412</v>
      </c>
      <c r="T46">
        <f t="shared" si="1"/>
        <v>-7</v>
      </c>
    </row>
    <row r="47" spans="1:21" x14ac:dyDescent="0.2">
      <c r="A47" t="s">
        <v>51</v>
      </c>
      <c r="B47" t="s">
        <v>20</v>
      </c>
      <c r="C47">
        <v>5.55149296</v>
      </c>
      <c r="D47">
        <v>6.6500000000000004E-2</v>
      </c>
      <c r="E47">
        <v>1.1339999999999999</v>
      </c>
      <c r="F47">
        <v>4.59</v>
      </c>
      <c r="G47">
        <v>1391</v>
      </c>
      <c r="H47" t="s">
        <v>52</v>
      </c>
      <c r="I47">
        <v>6426</v>
      </c>
      <c r="J47">
        <v>1.3380000000000001</v>
      </c>
      <c r="K47">
        <v>1.268</v>
      </c>
      <c r="L47">
        <v>0.13800000000000001</v>
      </c>
      <c r="M47">
        <v>4.2869999999999999</v>
      </c>
      <c r="N47">
        <v>161.90902729999999</v>
      </c>
      <c r="O47">
        <v>71.655726999999999</v>
      </c>
      <c r="P47">
        <v>96.517300000000006</v>
      </c>
      <c r="Q47">
        <v>8.34</v>
      </c>
      <c r="R47">
        <v>8.23752</v>
      </c>
      <c r="S47">
        <f t="shared" si="0"/>
        <v>99.730517672190274</v>
      </c>
      <c r="T47">
        <f t="shared" si="1"/>
        <v>-5</v>
      </c>
    </row>
    <row r="48" spans="1:21" x14ac:dyDescent="0.2">
      <c r="A48" t="s">
        <v>103</v>
      </c>
      <c r="B48" t="s">
        <v>20</v>
      </c>
      <c r="C48">
        <v>2.7033900000000002</v>
      </c>
      <c r="D48">
        <v>4.1230000000000003E-2</v>
      </c>
      <c r="E48">
        <v>1.56</v>
      </c>
      <c r="F48">
        <v>1.94</v>
      </c>
      <c r="G48">
        <v>1816</v>
      </c>
      <c r="I48">
        <v>6304</v>
      </c>
      <c r="J48">
        <v>1.7</v>
      </c>
      <c r="K48">
        <v>1.96</v>
      </c>
      <c r="L48">
        <v>0.05</v>
      </c>
      <c r="M48">
        <v>4.2</v>
      </c>
      <c r="N48">
        <v>148.6431193</v>
      </c>
      <c r="O48">
        <v>40.387944599999997</v>
      </c>
      <c r="P48">
        <v>210.25200000000001</v>
      </c>
      <c r="Q48">
        <v>9.8160000000000007</v>
      </c>
      <c r="R48">
        <v>9.7632399999999997</v>
      </c>
      <c r="S48">
        <f t="shared" si="0"/>
        <v>582.97620763372299</v>
      </c>
      <c r="T48">
        <f t="shared" si="1"/>
        <v>-5</v>
      </c>
    </row>
    <row r="49" spans="1:21" x14ac:dyDescent="0.2">
      <c r="A49" t="s">
        <v>123</v>
      </c>
      <c r="B49" t="s">
        <v>20</v>
      </c>
      <c r="C49">
        <v>2.9895931999999998</v>
      </c>
      <c r="D49">
        <v>4.317E-2</v>
      </c>
      <c r="E49">
        <v>1.6990000000000001</v>
      </c>
      <c r="F49">
        <v>0.90200000000000002</v>
      </c>
      <c r="G49">
        <v>1823</v>
      </c>
      <c r="H49" t="s">
        <v>56</v>
      </c>
      <c r="I49">
        <v>6206</v>
      </c>
      <c r="J49">
        <v>1.603</v>
      </c>
      <c r="K49">
        <v>1.2010000000000001</v>
      </c>
      <c r="L49">
        <v>-0.11600000000000001</v>
      </c>
      <c r="M49">
        <v>4.1079999999999997</v>
      </c>
      <c r="N49">
        <v>157.06262000000001</v>
      </c>
      <c r="O49">
        <v>25.573136600000002</v>
      </c>
      <c r="P49">
        <v>218.05</v>
      </c>
      <c r="Q49">
        <v>9.98</v>
      </c>
      <c r="R49">
        <v>9.95702</v>
      </c>
      <c r="S49">
        <f t="shared" si="0"/>
        <v>1492.9814393090719</v>
      </c>
      <c r="T49">
        <f t="shared" si="1"/>
        <v>-5</v>
      </c>
    </row>
    <row r="50" spans="1:21" x14ac:dyDescent="0.2">
      <c r="A50" t="s">
        <v>55</v>
      </c>
      <c r="B50" t="s">
        <v>20</v>
      </c>
      <c r="C50">
        <v>2.7347700000000001</v>
      </c>
      <c r="D50">
        <v>4.4150000000000002E-2</v>
      </c>
      <c r="E50">
        <v>1.6</v>
      </c>
      <c r="F50">
        <v>1.39</v>
      </c>
      <c r="G50">
        <v>2048</v>
      </c>
      <c r="H50" t="s">
        <v>56</v>
      </c>
      <c r="I50">
        <v>6768</v>
      </c>
      <c r="J50">
        <v>1.81</v>
      </c>
      <c r="K50">
        <v>1.76</v>
      </c>
      <c r="L50">
        <v>0</v>
      </c>
      <c r="M50">
        <v>4.5</v>
      </c>
      <c r="N50">
        <v>78.295591200000004</v>
      </c>
      <c r="O50">
        <v>33.317953199999998</v>
      </c>
      <c r="P50">
        <v>136.68100000000001</v>
      </c>
      <c r="Q50">
        <v>8.56</v>
      </c>
      <c r="R50">
        <v>8.4517299999999995</v>
      </c>
      <c r="S50">
        <f t="shared" si="0"/>
        <v>965.25628287035329</v>
      </c>
      <c r="T50">
        <f t="shared" si="1"/>
        <v>-5</v>
      </c>
    </row>
    <row r="51" spans="1:21" x14ac:dyDescent="0.2">
      <c r="A51" t="s">
        <v>21</v>
      </c>
      <c r="B51" t="s">
        <v>20</v>
      </c>
      <c r="C51">
        <v>1.4811235</v>
      </c>
      <c r="D51">
        <v>3.4619999999999998E-2</v>
      </c>
      <c r="E51">
        <v>1.891</v>
      </c>
      <c r="F51">
        <v>2.88</v>
      </c>
      <c r="G51">
        <v>4050</v>
      </c>
      <c r="H51" t="s">
        <v>143</v>
      </c>
      <c r="I51">
        <v>10170.1</v>
      </c>
      <c r="J51">
        <v>2.3620000000000001</v>
      </c>
      <c r="K51">
        <v>2.52</v>
      </c>
      <c r="L51">
        <v>-0.03</v>
      </c>
      <c r="M51">
        <v>4.093</v>
      </c>
      <c r="N51">
        <v>307.85989979999999</v>
      </c>
      <c r="O51">
        <v>39.9389161</v>
      </c>
      <c r="P51">
        <v>204.45500000000001</v>
      </c>
      <c r="Q51">
        <v>7.55</v>
      </c>
      <c r="R51">
        <v>7.5767499999999997</v>
      </c>
      <c r="S51">
        <f t="shared" si="0"/>
        <v>1286.8653667451285</v>
      </c>
      <c r="U51" s="1" t="s">
        <v>137</v>
      </c>
    </row>
    <row r="52" spans="1:21" x14ac:dyDescent="0.2">
      <c r="A52" t="s">
        <v>141</v>
      </c>
      <c r="I52">
        <v>7433.197265625</v>
      </c>
      <c r="N52">
        <v>286.97138676797078</v>
      </c>
      <c r="O52">
        <v>46.868244058307063</v>
      </c>
      <c r="Q52">
        <v>10.382340431213381</v>
      </c>
      <c r="R52">
        <v>10.382340431213381</v>
      </c>
    </row>
    <row r="53" spans="1:21" x14ac:dyDescent="0.2">
      <c r="A53" t="s">
        <v>100</v>
      </c>
      <c r="B53" t="s">
        <v>20</v>
      </c>
      <c r="C53">
        <v>1.7635879999999999</v>
      </c>
      <c r="D53">
        <v>3.6409999999999998E-2</v>
      </c>
      <c r="E53">
        <v>1.512</v>
      </c>
      <c r="F53">
        <v>9.2799999999999994</v>
      </c>
      <c r="G53">
        <v>2550</v>
      </c>
      <c r="I53">
        <v>7650</v>
      </c>
      <c r="J53">
        <v>1.74</v>
      </c>
      <c r="K53">
        <v>1.72</v>
      </c>
      <c r="L53">
        <v>0.2</v>
      </c>
      <c r="M53">
        <v>4.2</v>
      </c>
      <c r="N53">
        <v>286.97138760000001</v>
      </c>
      <c r="O53">
        <v>46.868246300000003</v>
      </c>
      <c r="P53">
        <v>519.096</v>
      </c>
      <c r="Q53">
        <v>9.7910000000000004</v>
      </c>
      <c r="R53">
        <v>10.367800000000001</v>
      </c>
      <c r="S53">
        <f t="shared" ref="S53:S79" si="2">(0.000000000000000138*G53/(1.673534E-24*1.3*0.000000066726*F53*1.8986E+30/(E53*7149200000)^2))/100000</f>
        <v>160.76196513632402</v>
      </c>
      <c r="T53">
        <f t="shared" ref="T53:T79" si="3">IF(I53&gt;6800,-7,-5)</f>
        <v>-7</v>
      </c>
    </row>
    <row r="54" spans="1:21" x14ac:dyDescent="0.2">
      <c r="A54" t="s">
        <v>98</v>
      </c>
      <c r="B54" t="s">
        <v>20</v>
      </c>
      <c r="C54">
        <v>0.79205199999999998</v>
      </c>
      <c r="D54">
        <v>1.6789999999999999E-2</v>
      </c>
      <c r="E54">
        <v>0.42109020000000003</v>
      </c>
      <c r="F54">
        <v>9.2250570000000004E-2</v>
      </c>
      <c r="G54">
        <v>1978</v>
      </c>
      <c r="H54" t="s">
        <v>99</v>
      </c>
      <c r="I54">
        <v>5443</v>
      </c>
      <c r="J54">
        <v>0.94899999999999995</v>
      </c>
      <c r="K54">
        <v>1.02</v>
      </c>
      <c r="L54">
        <v>0.27</v>
      </c>
      <c r="M54">
        <v>4.3499999999999996</v>
      </c>
      <c r="N54">
        <v>358.6688767</v>
      </c>
      <c r="O54">
        <v>-37.628223699999999</v>
      </c>
      <c r="P54">
        <v>80.437299999999993</v>
      </c>
      <c r="Q54">
        <v>9.7899999999999991</v>
      </c>
      <c r="R54">
        <v>9.6000599999999991</v>
      </c>
      <c r="S54">
        <f t="shared" si="2"/>
        <v>972.96006983022733</v>
      </c>
      <c r="T54">
        <f t="shared" si="3"/>
        <v>-5</v>
      </c>
    </row>
    <row r="55" spans="1:21" x14ac:dyDescent="0.2">
      <c r="A55" t="s">
        <v>48</v>
      </c>
      <c r="B55" t="s">
        <v>20</v>
      </c>
      <c r="C55">
        <v>2.1487738099999998</v>
      </c>
      <c r="D55">
        <v>4.0351999999999999E-2</v>
      </c>
      <c r="E55">
        <v>1.597</v>
      </c>
      <c r="F55">
        <v>3.7</v>
      </c>
      <c r="G55">
        <v>2594.3000000000002</v>
      </c>
      <c r="H55" t="s">
        <v>49</v>
      </c>
      <c r="I55">
        <v>7490</v>
      </c>
      <c r="J55">
        <v>2.0819999999999999</v>
      </c>
      <c r="K55">
        <v>1.9</v>
      </c>
      <c r="L55">
        <v>0.15</v>
      </c>
      <c r="M55">
        <v>4.1050000000000004</v>
      </c>
      <c r="N55">
        <v>317.5515264</v>
      </c>
      <c r="O55">
        <v>10.7388967</v>
      </c>
      <c r="P55">
        <v>182.273</v>
      </c>
      <c r="Q55">
        <v>8.2799999999999994</v>
      </c>
      <c r="R55">
        <v>8.2424300000000006</v>
      </c>
      <c r="S55">
        <f t="shared" si="2"/>
        <v>457.63140850776114</v>
      </c>
      <c r="T55">
        <f t="shared" si="3"/>
        <v>-7</v>
      </c>
    </row>
    <row r="56" spans="1:21" x14ac:dyDescent="0.2">
      <c r="A56" t="s">
        <v>46</v>
      </c>
      <c r="B56" t="s">
        <v>20</v>
      </c>
      <c r="C56">
        <v>2.8240932000000001</v>
      </c>
      <c r="D56">
        <v>4.7399999999999998E-2</v>
      </c>
      <c r="E56">
        <v>1.5149999999999999</v>
      </c>
      <c r="F56">
        <v>1.675</v>
      </c>
      <c r="G56">
        <v>2250</v>
      </c>
      <c r="H56" t="s">
        <v>47</v>
      </c>
      <c r="I56">
        <v>7800</v>
      </c>
      <c r="J56">
        <v>1.79</v>
      </c>
      <c r="K56">
        <v>1.75</v>
      </c>
      <c r="L56">
        <v>0</v>
      </c>
      <c r="M56">
        <v>4.0999999999999996</v>
      </c>
      <c r="N56">
        <v>147.5800667</v>
      </c>
      <c r="O56">
        <v>-66.113925300000005</v>
      </c>
      <c r="P56">
        <v>170.696</v>
      </c>
      <c r="Q56">
        <v>8.1910000000000007</v>
      </c>
      <c r="R56">
        <v>8.1740100000000009</v>
      </c>
      <c r="S56">
        <f t="shared" si="2"/>
        <v>789.006338593706</v>
      </c>
      <c r="T56">
        <f t="shared" si="3"/>
        <v>-7</v>
      </c>
    </row>
    <row r="57" spans="1:21" x14ac:dyDescent="0.2">
      <c r="A57" t="s">
        <v>80</v>
      </c>
      <c r="B57" t="s">
        <v>20</v>
      </c>
      <c r="C57">
        <v>16.249210000000001</v>
      </c>
      <c r="D57">
        <v>0.12909999999999999</v>
      </c>
      <c r="E57">
        <v>1.087</v>
      </c>
      <c r="F57">
        <v>4.34</v>
      </c>
      <c r="G57">
        <v>805.5</v>
      </c>
      <c r="H57" t="s">
        <v>43</v>
      </c>
      <c r="I57">
        <v>5756</v>
      </c>
      <c r="J57">
        <v>1.0860000000000001</v>
      </c>
      <c r="K57">
        <v>1.0820000000000001</v>
      </c>
      <c r="L57">
        <v>0.318</v>
      </c>
      <c r="M57">
        <v>4.4020000000000001</v>
      </c>
      <c r="N57">
        <v>310.29170019999998</v>
      </c>
      <c r="O57">
        <v>3.6382967000000002</v>
      </c>
      <c r="P57">
        <v>93.734499999999997</v>
      </c>
      <c r="Q57">
        <v>9.48</v>
      </c>
      <c r="R57">
        <v>9.4290710000000004</v>
      </c>
      <c r="S57">
        <f t="shared" si="2"/>
        <v>56.120615203365361</v>
      </c>
      <c r="T57">
        <f t="shared" si="3"/>
        <v>-5</v>
      </c>
      <c r="U57" s="1" t="s">
        <v>137</v>
      </c>
    </row>
    <row r="58" spans="1:21" x14ac:dyDescent="0.2">
      <c r="A58" t="s">
        <v>84</v>
      </c>
      <c r="B58" t="s">
        <v>20</v>
      </c>
      <c r="C58">
        <v>8.0277282999999997</v>
      </c>
      <c r="D58">
        <v>8.2337403000000003E-2</v>
      </c>
      <c r="E58">
        <v>0.83243188000000001</v>
      </c>
      <c r="F58">
        <v>0.16200000000000001</v>
      </c>
      <c r="G58">
        <v>1074.28</v>
      </c>
      <c r="H58" t="s">
        <v>43</v>
      </c>
      <c r="I58">
        <v>5962.7</v>
      </c>
      <c r="J58">
        <v>1.1499999999999999</v>
      </c>
      <c r="K58">
        <v>1.156039</v>
      </c>
      <c r="L58">
        <v>0</v>
      </c>
      <c r="M58">
        <v>4.38</v>
      </c>
      <c r="N58">
        <v>193.3963704</v>
      </c>
      <c r="O58">
        <v>85.129495199999994</v>
      </c>
      <c r="P58">
        <v>114.048</v>
      </c>
      <c r="Q58">
        <v>9.5399999999999991</v>
      </c>
      <c r="R58">
        <v>9.4135299999999997</v>
      </c>
      <c r="S58">
        <f t="shared" si="2"/>
        <v>1175.9460676296278</v>
      </c>
      <c r="T58">
        <f t="shared" si="3"/>
        <v>-5</v>
      </c>
    </row>
    <row r="59" spans="1:21" x14ac:dyDescent="0.2">
      <c r="A59" t="s">
        <v>83</v>
      </c>
      <c r="B59" t="s">
        <v>20</v>
      </c>
      <c r="C59">
        <v>12.5199</v>
      </c>
      <c r="D59">
        <v>0.1062</v>
      </c>
      <c r="E59">
        <v>0.41279399999999999</v>
      </c>
      <c r="F59">
        <v>2.627204E-2</v>
      </c>
      <c r="G59">
        <v>843</v>
      </c>
      <c r="I59">
        <v>5770</v>
      </c>
      <c r="J59">
        <v>0.96799999999999997</v>
      </c>
      <c r="K59">
        <v>1.022</v>
      </c>
      <c r="L59">
        <v>7.0000000000000007E-2</v>
      </c>
      <c r="M59">
        <v>4.47</v>
      </c>
      <c r="N59">
        <v>192.1848981</v>
      </c>
      <c r="O59">
        <v>64.855275500000005</v>
      </c>
      <c r="P59">
        <v>84.536199999999994</v>
      </c>
      <c r="Q59">
        <v>9.5340000000000007</v>
      </c>
      <c r="R59">
        <v>9.3678899999999992</v>
      </c>
      <c r="S59">
        <f t="shared" si="2"/>
        <v>1399.2265914107247</v>
      </c>
      <c r="T59">
        <f t="shared" si="3"/>
        <v>-5</v>
      </c>
    </row>
    <row r="60" spans="1:21" x14ac:dyDescent="0.2">
      <c r="A60" t="s">
        <v>77</v>
      </c>
      <c r="B60" t="s">
        <v>20</v>
      </c>
      <c r="C60">
        <v>4.7202190000000002</v>
      </c>
      <c r="D60">
        <v>6.2600000000000003E-2</v>
      </c>
      <c r="E60">
        <v>1.3959999999999999</v>
      </c>
      <c r="F60">
        <v>2.37</v>
      </c>
      <c r="G60">
        <v>1679</v>
      </c>
      <c r="I60">
        <v>6274</v>
      </c>
      <c r="J60">
        <v>1.925</v>
      </c>
      <c r="K60">
        <v>1.464</v>
      </c>
      <c r="L60">
        <v>0.11899999999999999</v>
      </c>
      <c r="M60">
        <v>4.0339999999999998</v>
      </c>
      <c r="N60">
        <v>325.01453629999997</v>
      </c>
      <c r="O60">
        <v>48.4067674</v>
      </c>
      <c r="P60">
        <v>200.49199999999999</v>
      </c>
      <c r="Q60">
        <v>9.4380000000000006</v>
      </c>
      <c r="R60">
        <v>9.3503900000000009</v>
      </c>
      <c r="S60">
        <f t="shared" si="2"/>
        <v>353.31388599481477</v>
      </c>
      <c r="T60">
        <f t="shared" si="3"/>
        <v>-5</v>
      </c>
    </row>
    <row r="61" spans="1:21" x14ac:dyDescent="0.2">
      <c r="A61" t="s">
        <v>69</v>
      </c>
      <c r="B61" t="s">
        <v>20</v>
      </c>
      <c r="C61">
        <v>4.4258699999999997</v>
      </c>
      <c r="D61">
        <v>5.7779999999999998E-2</v>
      </c>
      <c r="E61">
        <v>2.2303544500000001</v>
      </c>
      <c r="F61">
        <v>1.86578665</v>
      </c>
      <c r="G61">
        <v>1293</v>
      </c>
      <c r="H61" t="s">
        <v>70</v>
      </c>
      <c r="I61">
        <v>6117</v>
      </c>
      <c r="J61">
        <v>1.53</v>
      </c>
      <c r="K61">
        <v>1.3120000000000001</v>
      </c>
      <c r="L61">
        <v>0.25</v>
      </c>
      <c r="M61">
        <v>4.0999999999999996</v>
      </c>
      <c r="N61">
        <v>313.5110469</v>
      </c>
      <c r="O61">
        <v>72.580645500000003</v>
      </c>
      <c r="P61">
        <v>139.48400000000001</v>
      </c>
      <c r="Q61">
        <v>9.2700010000000006</v>
      </c>
      <c r="R61">
        <v>9.1879500000000007</v>
      </c>
      <c r="S61">
        <f t="shared" si="2"/>
        <v>882.20971786077962</v>
      </c>
      <c r="T61">
        <f t="shared" si="3"/>
        <v>-5</v>
      </c>
    </row>
    <row r="62" spans="1:21" x14ac:dyDescent="0.2">
      <c r="A62" t="s">
        <v>34</v>
      </c>
      <c r="B62" t="s">
        <v>20</v>
      </c>
      <c r="C62">
        <v>2.6502370000000002</v>
      </c>
      <c r="D62">
        <v>4.5999999999999999E-2</v>
      </c>
      <c r="E62">
        <v>1.49</v>
      </c>
      <c r="F62">
        <v>3.12</v>
      </c>
      <c r="G62">
        <v>2370</v>
      </c>
      <c r="H62" t="s">
        <v>35</v>
      </c>
      <c r="I62">
        <v>7690</v>
      </c>
      <c r="J62">
        <v>1.92</v>
      </c>
      <c r="K62">
        <v>1.9</v>
      </c>
      <c r="L62">
        <v>0.09</v>
      </c>
      <c r="M62">
        <v>4.1500000000000004</v>
      </c>
      <c r="N62">
        <v>316.20369219999998</v>
      </c>
      <c r="O62">
        <v>55.588022100000003</v>
      </c>
      <c r="P62">
        <v>148.92500000000001</v>
      </c>
      <c r="Q62">
        <v>8.0299999999999994</v>
      </c>
      <c r="R62">
        <v>7.9756099999999996</v>
      </c>
      <c r="S62">
        <f t="shared" si="2"/>
        <v>431.57254486096394</v>
      </c>
      <c r="T62">
        <f t="shared" si="3"/>
        <v>-7</v>
      </c>
    </row>
    <row r="63" spans="1:21" x14ac:dyDescent="0.2">
      <c r="A63" t="s">
        <v>60</v>
      </c>
      <c r="B63" t="s">
        <v>20</v>
      </c>
      <c r="C63">
        <v>1.902603</v>
      </c>
      <c r="D63">
        <v>3.8899999999999997E-2</v>
      </c>
      <c r="E63">
        <v>1.875</v>
      </c>
      <c r="F63">
        <v>2.2999999999999998</v>
      </c>
      <c r="G63">
        <v>2492</v>
      </c>
      <c r="H63" t="s">
        <v>61</v>
      </c>
      <c r="I63">
        <v>7300</v>
      </c>
      <c r="J63">
        <v>1.95</v>
      </c>
      <c r="K63">
        <v>1.79</v>
      </c>
      <c r="L63">
        <v>-0.1</v>
      </c>
      <c r="M63">
        <v>4.0999999999999996</v>
      </c>
      <c r="N63">
        <v>352.26752069999998</v>
      </c>
      <c r="O63">
        <v>67.034806200000006</v>
      </c>
      <c r="P63">
        <v>225.88800000000001</v>
      </c>
      <c r="Q63">
        <v>8.952</v>
      </c>
      <c r="R63">
        <v>8.8952899999999993</v>
      </c>
      <c r="S63">
        <f t="shared" si="2"/>
        <v>974.78820571370204</v>
      </c>
      <c r="T63">
        <f t="shared" si="3"/>
        <v>-7</v>
      </c>
    </row>
    <row r="64" spans="1:21" x14ac:dyDescent="0.2">
      <c r="A64" t="s">
        <v>87</v>
      </c>
      <c r="B64" t="s">
        <v>20</v>
      </c>
      <c r="C64">
        <v>3.2086640000000002</v>
      </c>
      <c r="D64">
        <v>4.8820000000000002E-2</v>
      </c>
      <c r="E64">
        <v>1.44</v>
      </c>
      <c r="F64">
        <v>0.7</v>
      </c>
      <c r="G64">
        <v>1927</v>
      </c>
      <c r="H64" t="s">
        <v>56</v>
      </c>
      <c r="I64">
        <v>5991</v>
      </c>
      <c r="J64">
        <v>2.1680000000000001</v>
      </c>
      <c r="K64">
        <v>1.5069999999999999</v>
      </c>
      <c r="L64">
        <v>0.373</v>
      </c>
      <c r="M64">
        <v>3.9430000000000001</v>
      </c>
      <c r="N64">
        <v>142.74340599999999</v>
      </c>
      <c r="O64">
        <v>26.539995099999999</v>
      </c>
      <c r="P64">
        <v>229.06700000000001</v>
      </c>
      <c r="Q64">
        <v>9.7210000000000001</v>
      </c>
      <c r="R64">
        <v>9.5843900000000009</v>
      </c>
      <c r="S64">
        <f t="shared" si="2"/>
        <v>1460.8182255852041</v>
      </c>
      <c r="T64">
        <f t="shared" si="3"/>
        <v>-5</v>
      </c>
    </row>
    <row r="65" spans="1:20" x14ac:dyDescent="0.2">
      <c r="A65" t="s">
        <v>102</v>
      </c>
      <c r="B65" t="s">
        <v>20</v>
      </c>
      <c r="C65">
        <v>9.5739181000000002</v>
      </c>
      <c r="D65">
        <v>0.1</v>
      </c>
      <c r="E65">
        <v>1.10166148</v>
      </c>
      <c r="F65">
        <v>0.28128386</v>
      </c>
      <c r="G65">
        <v>1199.55</v>
      </c>
      <c r="I65">
        <v>6039</v>
      </c>
      <c r="J65">
        <v>2.032</v>
      </c>
      <c r="K65">
        <v>1.4642999999999999</v>
      </c>
      <c r="L65">
        <v>0.33200000000000002</v>
      </c>
      <c r="M65">
        <v>3.9860000000000002</v>
      </c>
      <c r="N65">
        <v>201.9626552</v>
      </c>
      <c r="O65">
        <v>9.0306437000000006</v>
      </c>
      <c r="P65">
        <v>223.465</v>
      </c>
      <c r="Q65">
        <v>9.8149999999999995</v>
      </c>
      <c r="R65">
        <v>9.6598100000000002</v>
      </c>
      <c r="S65">
        <f t="shared" si="2"/>
        <v>1324.5165539963698</v>
      </c>
      <c r="T65">
        <f t="shared" si="3"/>
        <v>-5</v>
      </c>
    </row>
    <row r="66" spans="1:20" x14ac:dyDescent="0.2">
      <c r="A66" t="s">
        <v>111</v>
      </c>
      <c r="B66" t="s">
        <v>20</v>
      </c>
      <c r="C66">
        <v>17.305904000000002</v>
      </c>
      <c r="D66">
        <v>0.16</v>
      </c>
      <c r="E66">
        <v>1.07</v>
      </c>
      <c r="F66">
        <v>6.4</v>
      </c>
      <c r="G66">
        <v>1221.3900000000001</v>
      </c>
      <c r="I66">
        <v>7130</v>
      </c>
      <c r="J66">
        <v>2.02</v>
      </c>
      <c r="K66">
        <v>1.59</v>
      </c>
      <c r="L66">
        <v>0</v>
      </c>
      <c r="M66">
        <v>3.9460000000000002</v>
      </c>
      <c r="N66">
        <v>164.031654</v>
      </c>
      <c r="O66">
        <v>-43.376696699999997</v>
      </c>
      <c r="P66">
        <v>328.47500000000002</v>
      </c>
      <c r="Q66">
        <v>9.8670000000000009</v>
      </c>
      <c r="R66">
        <v>9.7596699999999998</v>
      </c>
      <c r="S66">
        <f t="shared" si="2"/>
        <v>55.915145726222889</v>
      </c>
      <c r="T66">
        <f t="shared" si="3"/>
        <v>-7</v>
      </c>
    </row>
    <row r="67" spans="1:20" x14ac:dyDescent="0.2">
      <c r="A67" t="s">
        <v>64</v>
      </c>
      <c r="B67" t="s">
        <v>20</v>
      </c>
      <c r="C67">
        <v>10.261127</v>
      </c>
      <c r="D67">
        <v>0.111</v>
      </c>
      <c r="E67">
        <v>1.1079506100000001</v>
      </c>
      <c r="F67">
        <v>5.55960374</v>
      </c>
      <c r="G67">
        <v>1363.43</v>
      </c>
      <c r="I67">
        <v>6200</v>
      </c>
      <c r="J67">
        <v>2.7505000000000002</v>
      </c>
      <c r="K67">
        <v>1.7169000000000001</v>
      </c>
      <c r="L67">
        <v>0.28499999999999998</v>
      </c>
      <c r="M67">
        <v>3.7890000000000001</v>
      </c>
      <c r="N67">
        <v>263.75807529999997</v>
      </c>
      <c r="O67">
        <v>40.695042800000003</v>
      </c>
      <c r="P67">
        <v>224.73099999999999</v>
      </c>
      <c r="Q67">
        <v>9.07</v>
      </c>
      <c r="R67">
        <v>8.9365100000000002</v>
      </c>
      <c r="S67">
        <f t="shared" si="2"/>
        <v>77.040187113891676</v>
      </c>
      <c r="T67">
        <f t="shared" si="3"/>
        <v>-5</v>
      </c>
    </row>
    <row r="68" spans="1:20" x14ac:dyDescent="0.2">
      <c r="A68" t="s">
        <v>85</v>
      </c>
      <c r="B68" t="s">
        <v>20</v>
      </c>
      <c r="C68">
        <v>10.655669</v>
      </c>
      <c r="D68">
        <v>0.1166</v>
      </c>
      <c r="E68">
        <v>0.99399999999999999</v>
      </c>
      <c r="F68">
        <v>4.82</v>
      </c>
      <c r="G68">
        <v>1595</v>
      </c>
      <c r="I68">
        <v>7360</v>
      </c>
      <c r="J68">
        <v>2.36</v>
      </c>
      <c r="K68">
        <v>1.859</v>
      </c>
      <c r="L68">
        <v>9.4E-2</v>
      </c>
      <c r="M68">
        <v>3.9620000000000002</v>
      </c>
      <c r="N68">
        <v>90.062587800000003</v>
      </c>
      <c r="O68">
        <v>11.8840577</v>
      </c>
      <c r="P68">
        <v>285.28899999999999</v>
      </c>
      <c r="Q68">
        <v>9.5470000000000006</v>
      </c>
      <c r="R68">
        <v>9.4724400000000006</v>
      </c>
      <c r="S68">
        <f t="shared" si="2"/>
        <v>83.670803141549356</v>
      </c>
      <c r="T68">
        <f t="shared" si="3"/>
        <v>-7</v>
      </c>
    </row>
    <row r="69" spans="1:20" x14ac:dyDescent="0.2">
      <c r="A69" t="s">
        <v>22</v>
      </c>
      <c r="B69" t="s">
        <v>20</v>
      </c>
      <c r="C69">
        <v>18.388179999999998</v>
      </c>
      <c r="D69">
        <v>0.15279999999999999</v>
      </c>
      <c r="E69">
        <v>0.63900000000000001</v>
      </c>
      <c r="F69">
        <v>0.13800000000000001</v>
      </c>
      <c r="G69">
        <v>1027</v>
      </c>
      <c r="I69">
        <v>6095</v>
      </c>
      <c r="J69">
        <v>1.867</v>
      </c>
      <c r="K69">
        <v>1.407</v>
      </c>
      <c r="L69">
        <v>0.17499999999999999</v>
      </c>
      <c r="M69">
        <v>4.0439999999999996</v>
      </c>
      <c r="N69">
        <v>47.517260800000003</v>
      </c>
      <c r="O69">
        <v>-50.8322632</v>
      </c>
      <c r="P69">
        <v>76.902799999999999</v>
      </c>
      <c r="Q69">
        <v>7.57</v>
      </c>
      <c r="R69">
        <v>7.4165299999999998</v>
      </c>
      <c r="S69">
        <f t="shared" si="2"/>
        <v>777.64358420307099</v>
      </c>
      <c r="T69">
        <f t="shared" si="3"/>
        <v>-5</v>
      </c>
    </row>
    <row r="70" spans="1:20" x14ac:dyDescent="0.2">
      <c r="A70" t="s">
        <v>115</v>
      </c>
      <c r="B70" t="s">
        <v>20</v>
      </c>
      <c r="C70">
        <v>16.067540999999999</v>
      </c>
      <c r="D70">
        <v>0.11700000000000001</v>
      </c>
      <c r="E70">
        <v>0.45410017000000003</v>
      </c>
      <c r="F70">
        <v>4.4363560000000003E-2</v>
      </c>
      <c r="G70">
        <v>635</v>
      </c>
      <c r="H70" t="s">
        <v>116</v>
      </c>
      <c r="I70">
        <v>5291</v>
      </c>
      <c r="J70">
        <v>0.86599999999999999</v>
      </c>
      <c r="K70">
        <v>0.83299999999999996</v>
      </c>
      <c r="L70">
        <v>-4.3999999999999997E-2</v>
      </c>
      <c r="M70">
        <v>4.4800000000000004</v>
      </c>
      <c r="N70">
        <v>81.853282399999998</v>
      </c>
      <c r="O70">
        <v>-14.2767404</v>
      </c>
      <c r="P70">
        <v>74.796899999999994</v>
      </c>
      <c r="Q70">
        <v>9.9309999999999992</v>
      </c>
      <c r="R70">
        <v>9.7777600000000007</v>
      </c>
      <c r="S70">
        <f t="shared" si="2"/>
        <v>755.33252275944176</v>
      </c>
      <c r="T70">
        <f t="shared" si="3"/>
        <v>-5</v>
      </c>
    </row>
    <row r="71" spans="1:20" x14ac:dyDescent="0.2">
      <c r="A71" t="s">
        <v>121</v>
      </c>
      <c r="B71" t="s">
        <v>20</v>
      </c>
      <c r="C71">
        <v>9.9558099999999996</v>
      </c>
      <c r="D71">
        <v>9.9400000000000002E-2</v>
      </c>
      <c r="E71">
        <v>1.0580000000000001</v>
      </c>
      <c r="F71">
        <v>1.49</v>
      </c>
      <c r="G71">
        <v>1655</v>
      </c>
      <c r="I71">
        <v>4896</v>
      </c>
      <c r="J71">
        <v>3.55</v>
      </c>
      <c r="K71">
        <v>1.31</v>
      </c>
      <c r="L71">
        <v>0.23</v>
      </c>
      <c r="M71">
        <v>3.48</v>
      </c>
      <c r="N71">
        <v>184.97875790000001</v>
      </c>
      <c r="O71">
        <v>-25.827853099999999</v>
      </c>
      <c r="P71">
        <v>215.98599999999999</v>
      </c>
      <c r="Q71">
        <v>9.9730000000000008</v>
      </c>
      <c r="R71">
        <v>9.641</v>
      </c>
      <c r="S71">
        <f t="shared" si="2"/>
        <v>318.17832033985127</v>
      </c>
      <c r="T71">
        <f t="shared" si="3"/>
        <v>-5</v>
      </c>
    </row>
    <row r="72" spans="1:20" x14ac:dyDescent="0.2">
      <c r="A72" t="s">
        <v>68</v>
      </c>
      <c r="B72" t="s">
        <v>20</v>
      </c>
      <c r="C72">
        <v>7.2459899999999999</v>
      </c>
      <c r="D72">
        <v>8.8800000000000004E-2</v>
      </c>
      <c r="E72">
        <v>1.042</v>
      </c>
      <c r="F72">
        <v>12.89</v>
      </c>
      <c r="G72">
        <v>1677</v>
      </c>
      <c r="H72" t="s">
        <v>56</v>
      </c>
      <c r="I72">
        <v>6264</v>
      </c>
      <c r="J72">
        <v>2.738</v>
      </c>
      <c r="K72">
        <v>1.7649999999999999</v>
      </c>
      <c r="L72">
        <v>0.34200000000000003</v>
      </c>
      <c r="M72">
        <v>3.81</v>
      </c>
      <c r="N72">
        <v>83.865928800000006</v>
      </c>
      <c r="O72">
        <v>21.294241700000001</v>
      </c>
      <c r="P72">
        <v>225.643</v>
      </c>
      <c r="Q72">
        <v>9.24</v>
      </c>
      <c r="R72">
        <v>9.0746900000000004</v>
      </c>
      <c r="S72">
        <f t="shared" si="2"/>
        <v>36.149567272802649</v>
      </c>
      <c r="T72">
        <f t="shared" si="3"/>
        <v>-5</v>
      </c>
    </row>
    <row r="73" spans="1:20" x14ac:dyDescent="0.2">
      <c r="A73" t="s">
        <v>119</v>
      </c>
      <c r="B73" t="s">
        <v>20</v>
      </c>
      <c r="C73">
        <v>10.331110000000001</v>
      </c>
      <c r="D73">
        <v>9.7000000000000003E-2</v>
      </c>
      <c r="E73">
        <v>0.99</v>
      </c>
      <c r="F73">
        <v>1.53</v>
      </c>
      <c r="G73">
        <v>1370</v>
      </c>
      <c r="H73" t="s">
        <v>120</v>
      </c>
      <c r="I73">
        <v>5735</v>
      </c>
      <c r="J73">
        <v>1.66</v>
      </c>
      <c r="K73">
        <v>1.1399999999999999</v>
      </c>
      <c r="L73">
        <v>0.26</v>
      </c>
      <c r="M73">
        <v>4.0599999999999996</v>
      </c>
      <c r="N73">
        <v>110.5126861</v>
      </c>
      <c r="O73">
        <v>-57.384998000000003</v>
      </c>
      <c r="P73">
        <v>179.36600000000001</v>
      </c>
      <c r="Q73">
        <v>9.9719999999999995</v>
      </c>
      <c r="R73">
        <v>9.8465900000000008</v>
      </c>
      <c r="S73">
        <f t="shared" si="2"/>
        <v>224.58825733889913</v>
      </c>
      <c r="T73">
        <f t="shared" si="3"/>
        <v>-5</v>
      </c>
    </row>
    <row r="74" spans="1:20" x14ac:dyDescent="0.2">
      <c r="A74" t="s">
        <v>92</v>
      </c>
      <c r="B74" t="s">
        <v>20</v>
      </c>
      <c r="C74">
        <v>6.7535809999999996</v>
      </c>
      <c r="D74">
        <v>7.2999999999999995E-2</v>
      </c>
      <c r="E74">
        <v>0.58881357999999995</v>
      </c>
      <c r="F74">
        <v>0.10068326</v>
      </c>
      <c r="G74">
        <v>1180</v>
      </c>
      <c r="I74">
        <v>5808</v>
      </c>
      <c r="J74">
        <v>1.29</v>
      </c>
      <c r="K74">
        <v>1.1000000000000001</v>
      </c>
      <c r="L74">
        <v>0.2</v>
      </c>
      <c r="M74">
        <v>4.26</v>
      </c>
      <c r="N74">
        <v>166.26950410000001</v>
      </c>
      <c r="O74">
        <v>11.2464069</v>
      </c>
      <c r="P74">
        <v>130.91900000000001</v>
      </c>
      <c r="Q74">
        <v>9.75</v>
      </c>
      <c r="R74">
        <v>9.6080000000000005</v>
      </c>
      <c r="S74">
        <f t="shared" si="2"/>
        <v>1039.84328949877</v>
      </c>
      <c r="T74">
        <f t="shared" si="3"/>
        <v>-5</v>
      </c>
    </row>
    <row r="75" spans="1:20" x14ac:dyDescent="0.2">
      <c r="A75" t="s">
        <v>129</v>
      </c>
      <c r="B75" t="s">
        <v>20</v>
      </c>
      <c r="C75">
        <v>10.590547000000001</v>
      </c>
      <c r="D75">
        <v>9.8000000000000004E-2</v>
      </c>
      <c r="E75">
        <v>0.91890603000000004</v>
      </c>
      <c r="F75">
        <v>0.18469084999999999</v>
      </c>
      <c r="G75">
        <v>947</v>
      </c>
      <c r="H75" t="s">
        <v>130</v>
      </c>
      <c r="I75">
        <v>6000</v>
      </c>
      <c r="J75">
        <v>1.0509999999999999</v>
      </c>
      <c r="K75">
        <v>1.1459999999999999</v>
      </c>
      <c r="L75">
        <v>0.09</v>
      </c>
      <c r="M75">
        <v>4.4400000000000004</v>
      </c>
      <c r="N75">
        <v>161.87955690000001</v>
      </c>
      <c r="O75">
        <v>36.329434499999998</v>
      </c>
      <c r="P75">
        <v>130.85499999999999</v>
      </c>
      <c r="Q75">
        <v>10.058999999999999</v>
      </c>
      <c r="R75">
        <v>9.9823299999999993</v>
      </c>
      <c r="S75">
        <f t="shared" si="2"/>
        <v>1107.9861243219782</v>
      </c>
      <c r="T75">
        <f t="shared" si="3"/>
        <v>-5</v>
      </c>
    </row>
    <row r="76" spans="1:20" x14ac:dyDescent="0.2">
      <c r="A76" t="s">
        <v>114</v>
      </c>
      <c r="B76" t="s">
        <v>20</v>
      </c>
      <c r="C76">
        <v>5.8267310999999999</v>
      </c>
      <c r="D76">
        <v>6.9000000000000006E-2</v>
      </c>
      <c r="E76">
        <v>0.57186287999999996</v>
      </c>
      <c r="F76">
        <v>0.24698861999999999</v>
      </c>
      <c r="G76">
        <v>1439</v>
      </c>
      <c r="I76">
        <v>6110</v>
      </c>
      <c r="J76">
        <v>1.6479999999999999</v>
      </c>
      <c r="K76">
        <v>1.2909999999999999</v>
      </c>
      <c r="L76">
        <v>0.124</v>
      </c>
      <c r="M76">
        <v>4.1180000000000003</v>
      </c>
      <c r="N76">
        <v>51.657269100000001</v>
      </c>
      <c r="O76">
        <v>40.817270399999998</v>
      </c>
      <c r="P76">
        <v>179.14699999999999</v>
      </c>
      <c r="Q76">
        <v>9.9130000000000003</v>
      </c>
      <c r="R76">
        <v>9.7295700000000007</v>
      </c>
      <c r="S76">
        <f t="shared" si="2"/>
        <v>487.59044264912109</v>
      </c>
      <c r="T76">
        <f t="shared" si="3"/>
        <v>-5</v>
      </c>
    </row>
    <row r="77" spans="1:20" x14ac:dyDescent="0.2">
      <c r="A77" t="s">
        <v>62</v>
      </c>
      <c r="B77" t="s">
        <v>20</v>
      </c>
      <c r="C77">
        <v>6.4025129999999999</v>
      </c>
      <c r="D77">
        <v>7.0800000000000002E-2</v>
      </c>
      <c r="E77">
        <v>0.82399999999999995</v>
      </c>
      <c r="F77">
        <v>0.30299999999999999</v>
      </c>
      <c r="G77">
        <v>1388</v>
      </c>
      <c r="H77" t="s">
        <v>63</v>
      </c>
      <c r="I77">
        <v>6400</v>
      </c>
      <c r="J77">
        <v>1.415</v>
      </c>
      <c r="K77">
        <v>1.3129999999999999</v>
      </c>
      <c r="L77">
        <v>0.09</v>
      </c>
      <c r="M77">
        <v>4.2</v>
      </c>
      <c r="N77">
        <v>125.3050544</v>
      </c>
      <c r="O77">
        <v>-46.484295899999999</v>
      </c>
      <c r="P77">
        <v>123.297</v>
      </c>
      <c r="Q77">
        <v>8.9949999999999992</v>
      </c>
      <c r="R77">
        <v>8.8910300000000007</v>
      </c>
      <c r="S77">
        <f t="shared" si="2"/>
        <v>795.95548671567838</v>
      </c>
      <c r="T77">
        <f t="shared" si="3"/>
        <v>-5</v>
      </c>
    </row>
    <row r="78" spans="1:20" x14ac:dyDescent="0.2">
      <c r="A78" t="s">
        <v>105</v>
      </c>
      <c r="B78" t="s">
        <v>20</v>
      </c>
      <c r="C78">
        <v>11.236598499999999</v>
      </c>
      <c r="D78">
        <v>0.1041</v>
      </c>
      <c r="E78">
        <v>1.17</v>
      </c>
      <c r="F78">
        <v>1.234</v>
      </c>
      <c r="G78">
        <v>1252</v>
      </c>
      <c r="H78" t="s">
        <v>54</v>
      </c>
      <c r="I78">
        <v>6295</v>
      </c>
      <c r="J78">
        <v>1.28</v>
      </c>
      <c r="K78">
        <v>1.181</v>
      </c>
      <c r="L78">
        <v>0</v>
      </c>
      <c r="M78">
        <v>4.2910000000000004</v>
      </c>
      <c r="N78">
        <v>144.11935940000001</v>
      </c>
      <c r="O78">
        <v>-50.463093299999997</v>
      </c>
      <c r="P78">
        <v>141.81200000000001</v>
      </c>
      <c r="Q78">
        <v>9.8219999999999992</v>
      </c>
      <c r="R78">
        <v>9.6608199999999993</v>
      </c>
      <c r="S78">
        <f t="shared" si="2"/>
        <v>355.42536038318485</v>
      </c>
      <c r="T78">
        <f t="shared" si="3"/>
        <v>-5</v>
      </c>
    </row>
    <row r="79" spans="1:20" x14ac:dyDescent="0.2">
      <c r="A79" t="s">
        <v>65</v>
      </c>
      <c r="B79" t="s">
        <v>20</v>
      </c>
      <c r="C79">
        <v>4.6336110000000001</v>
      </c>
      <c r="D79">
        <v>0.06</v>
      </c>
      <c r="E79">
        <v>1.37</v>
      </c>
      <c r="F79">
        <v>2.8</v>
      </c>
      <c r="G79">
        <v>1561</v>
      </c>
      <c r="H79" t="s">
        <v>66</v>
      </c>
      <c r="I79">
        <v>6643</v>
      </c>
      <c r="J79">
        <v>1.71</v>
      </c>
      <c r="K79">
        <v>1.4</v>
      </c>
      <c r="L79">
        <v>0</v>
      </c>
      <c r="M79">
        <v>4.05</v>
      </c>
      <c r="N79">
        <v>199.33385029999999</v>
      </c>
      <c r="O79">
        <v>-15.2737046</v>
      </c>
      <c r="P79">
        <v>161.74299999999999</v>
      </c>
      <c r="Q79">
        <v>9.109</v>
      </c>
      <c r="R79">
        <v>8.9943600000000004</v>
      </c>
      <c r="S79">
        <f t="shared" si="2"/>
        <v>267.77715667890726</v>
      </c>
      <c r="T79">
        <f t="shared" si="3"/>
        <v>-5</v>
      </c>
    </row>
    <row r="80" spans="1:20" x14ac:dyDescent="0.2">
      <c r="A80" t="s">
        <v>142</v>
      </c>
      <c r="I80">
        <v>6161.02294921875</v>
      </c>
      <c r="J80">
        <v>1.7061723470687871</v>
      </c>
      <c r="K80">
        <v>1.3463604</v>
      </c>
      <c r="M80">
        <v>3.9825000762939449</v>
      </c>
      <c r="N80">
        <v>268.30433503422898</v>
      </c>
      <c r="O80">
        <v>37.211736733677057</v>
      </c>
      <c r="P80">
        <v>496.26729999999998</v>
      </c>
      <c r="Q80">
        <v>11.469913482666019</v>
      </c>
      <c r="R80">
        <v>11.469913482666019</v>
      </c>
    </row>
    <row r="81" spans="1:21" x14ac:dyDescent="0.2">
      <c r="A81" t="s">
        <v>138</v>
      </c>
      <c r="B81" t="s">
        <v>20</v>
      </c>
      <c r="I81">
        <v>6200</v>
      </c>
      <c r="J81">
        <v>1.2</v>
      </c>
      <c r="N81">
        <v>97.636728000000005</v>
      </c>
      <c r="O81">
        <v>29.672419000000001</v>
      </c>
      <c r="P81">
        <v>427</v>
      </c>
      <c r="R81">
        <v>11.4986</v>
      </c>
      <c r="T81">
        <f t="shared" ref="T81:T101" si="4">IF(I81&gt;6800,-7,-5)</f>
        <v>-5</v>
      </c>
    </row>
    <row r="82" spans="1:21" x14ac:dyDescent="0.2">
      <c r="A82" t="s">
        <v>131</v>
      </c>
      <c r="B82" t="s">
        <v>20</v>
      </c>
      <c r="C82">
        <v>5.3220124999999996</v>
      </c>
      <c r="D82">
        <v>6.08E-2</v>
      </c>
      <c r="E82">
        <v>1.226</v>
      </c>
      <c r="F82">
        <v>0.27300000000000002</v>
      </c>
      <c r="G82">
        <v>1460</v>
      </c>
      <c r="H82" t="s">
        <v>43</v>
      </c>
      <c r="I82">
        <v>5990</v>
      </c>
      <c r="J82">
        <v>1.5609999999999999</v>
      </c>
      <c r="K82">
        <v>1.06</v>
      </c>
      <c r="L82">
        <v>-0.2</v>
      </c>
      <c r="M82">
        <v>4.0750000000000002</v>
      </c>
      <c r="N82">
        <v>210.1935714</v>
      </c>
      <c r="O82">
        <v>-30.583608399999999</v>
      </c>
      <c r="P82">
        <v>200.07499999999999</v>
      </c>
      <c r="Q82">
        <v>10.068</v>
      </c>
      <c r="R82">
        <v>9.8670799999999996</v>
      </c>
      <c r="S82">
        <f t="shared" ref="S82:S101" si="5">(0.000000000000000138*G82/(1.673534E-24*1.3*0.000000066726*F82*1.8986E+30/(E82*7149200000)^2))/100000</f>
        <v>2057.1154637812851</v>
      </c>
      <c r="T82">
        <f t="shared" si="4"/>
        <v>-5</v>
      </c>
    </row>
    <row r="83" spans="1:21" x14ac:dyDescent="0.2">
      <c r="A83" t="s">
        <v>122</v>
      </c>
      <c r="B83" t="s">
        <v>20</v>
      </c>
      <c r="C83">
        <v>5.21536178778</v>
      </c>
      <c r="D83">
        <v>6.6100000000000006E-2</v>
      </c>
      <c r="E83">
        <v>1.5</v>
      </c>
      <c r="F83">
        <v>1.51</v>
      </c>
      <c r="G83">
        <v>1630</v>
      </c>
      <c r="H83" t="s">
        <v>56</v>
      </c>
      <c r="I83">
        <v>6250</v>
      </c>
      <c r="J83">
        <v>2.3901400000000002</v>
      </c>
      <c r="K83">
        <v>1.41</v>
      </c>
      <c r="L83">
        <v>-0.18</v>
      </c>
      <c r="M83">
        <v>3.9</v>
      </c>
      <c r="N83">
        <v>0.32576100000000002</v>
      </c>
      <c r="O83">
        <v>-8.9262511999999994</v>
      </c>
      <c r="P83">
        <v>275.58699999999999</v>
      </c>
      <c r="Q83">
        <v>9.9740000000000002</v>
      </c>
      <c r="R83">
        <v>9.8192900000000005</v>
      </c>
      <c r="S83">
        <f t="shared" si="5"/>
        <v>621.55661806820979</v>
      </c>
      <c r="T83">
        <f t="shared" si="4"/>
        <v>-5</v>
      </c>
    </row>
    <row r="84" spans="1:21" x14ac:dyDescent="0.2">
      <c r="A84" t="s">
        <v>89</v>
      </c>
      <c r="B84" t="s">
        <v>20</v>
      </c>
      <c r="C84">
        <v>2.2437499999999999</v>
      </c>
      <c r="D84">
        <v>3.6999999999999998E-2</v>
      </c>
      <c r="E84">
        <v>1.38</v>
      </c>
      <c r="F84">
        <v>8.84</v>
      </c>
      <c r="G84">
        <v>1872</v>
      </c>
      <c r="I84">
        <v>6475</v>
      </c>
      <c r="J84">
        <v>1.4</v>
      </c>
      <c r="K84">
        <v>1.62</v>
      </c>
      <c r="L84">
        <v>0</v>
      </c>
      <c r="M84">
        <v>4.07</v>
      </c>
      <c r="N84">
        <v>218.27662470000001</v>
      </c>
      <c r="O84">
        <v>21.8946875</v>
      </c>
      <c r="P84">
        <v>161.99700000000001</v>
      </c>
      <c r="Q84">
        <v>9.7449999999999992</v>
      </c>
      <c r="R84">
        <v>9.6464700000000008</v>
      </c>
      <c r="S84">
        <f t="shared" si="5"/>
        <v>103.20465157174387</v>
      </c>
      <c r="T84">
        <f t="shared" si="4"/>
        <v>-5</v>
      </c>
    </row>
    <row r="85" spans="1:21" x14ac:dyDescent="0.2">
      <c r="A85" t="s">
        <v>73</v>
      </c>
      <c r="B85" t="s">
        <v>20</v>
      </c>
      <c r="C85">
        <v>5.4435399999999996</v>
      </c>
      <c r="D85">
        <v>6.4100000000000004E-2</v>
      </c>
      <c r="E85">
        <v>0.63</v>
      </c>
      <c r="F85">
        <v>0.10100000000000001</v>
      </c>
      <c r="G85">
        <v>1270</v>
      </c>
      <c r="H85" t="s">
        <v>74</v>
      </c>
      <c r="I85">
        <v>6050</v>
      </c>
      <c r="J85">
        <v>1.22</v>
      </c>
      <c r="K85">
        <v>1.19</v>
      </c>
      <c r="L85">
        <v>0.19</v>
      </c>
      <c r="M85">
        <v>4.34</v>
      </c>
      <c r="N85">
        <v>144.87510470000001</v>
      </c>
      <c r="O85">
        <v>-20.982419100000001</v>
      </c>
      <c r="P85">
        <v>114.173</v>
      </c>
      <c r="Q85">
        <v>9.3510000000000009</v>
      </c>
      <c r="R85">
        <v>9.2569999999999997</v>
      </c>
      <c r="S85">
        <f t="shared" si="5"/>
        <v>1277.1766379712274</v>
      </c>
      <c r="T85">
        <f t="shared" si="4"/>
        <v>-5</v>
      </c>
    </row>
    <row r="86" spans="1:21" x14ac:dyDescent="0.2">
      <c r="A86" t="s">
        <v>117</v>
      </c>
      <c r="B86" t="s">
        <v>20</v>
      </c>
      <c r="C86">
        <v>3.3448285000000002</v>
      </c>
      <c r="D86">
        <v>5.5800000000000002E-2</v>
      </c>
      <c r="E86">
        <v>1.81</v>
      </c>
      <c r="F86">
        <v>1.66</v>
      </c>
      <c r="G86">
        <v>2470</v>
      </c>
      <c r="H86" t="s">
        <v>118</v>
      </c>
      <c r="I86">
        <v>9360</v>
      </c>
      <c r="J86">
        <v>1.67</v>
      </c>
      <c r="K86">
        <v>2.0699999999999998</v>
      </c>
      <c r="L86">
        <v>0.21</v>
      </c>
      <c r="M86">
        <v>4.3099999999999996</v>
      </c>
      <c r="N86">
        <v>227.270329</v>
      </c>
      <c r="O86">
        <v>-42.704965799999997</v>
      </c>
      <c r="P86">
        <v>427.678</v>
      </c>
      <c r="Q86">
        <v>9.9459999999999997</v>
      </c>
      <c r="R86">
        <v>9.9122599999999998</v>
      </c>
      <c r="S86">
        <f t="shared" si="5"/>
        <v>1247.4798366438731</v>
      </c>
      <c r="T86">
        <f t="shared" si="4"/>
        <v>-7</v>
      </c>
    </row>
    <row r="87" spans="1:21" x14ac:dyDescent="0.2">
      <c r="A87" t="s">
        <v>71</v>
      </c>
      <c r="B87" t="s">
        <v>20</v>
      </c>
      <c r="C87">
        <v>0.94145223</v>
      </c>
      <c r="D87">
        <v>2.0240000000000001E-2</v>
      </c>
      <c r="E87">
        <v>1.24</v>
      </c>
      <c r="F87">
        <v>10.199999999999999</v>
      </c>
      <c r="G87">
        <v>2429</v>
      </c>
      <c r="H87" t="s">
        <v>72</v>
      </c>
      <c r="I87">
        <v>6432</v>
      </c>
      <c r="J87">
        <v>1.319</v>
      </c>
      <c r="K87">
        <v>1.294</v>
      </c>
      <c r="L87">
        <v>0.107</v>
      </c>
      <c r="M87">
        <v>4.3099999999999996</v>
      </c>
      <c r="N87">
        <v>24.354461799999999</v>
      </c>
      <c r="O87">
        <v>-45.677793700000002</v>
      </c>
      <c r="P87">
        <v>123.483</v>
      </c>
      <c r="Q87">
        <v>9.2799999999999994</v>
      </c>
      <c r="R87">
        <v>9.1661699999999993</v>
      </c>
      <c r="S87">
        <f t="shared" si="5"/>
        <v>93.704022194109143</v>
      </c>
      <c r="T87">
        <f t="shared" si="4"/>
        <v>-5</v>
      </c>
    </row>
    <row r="88" spans="1:21" x14ac:dyDescent="0.2">
      <c r="A88" t="s">
        <v>19</v>
      </c>
      <c r="B88" t="s">
        <v>20</v>
      </c>
      <c r="C88">
        <v>2.7240329999999999</v>
      </c>
      <c r="D88">
        <v>5.0529999999999999E-2</v>
      </c>
      <c r="E88">
        <v>1.619</v>
      </c>
      <c r="F88">
        <v>1.99</v>
      </c>
      <c r="G88">
        <v>3353</v>
      </c>
      <c r="I88">
        <v>8000</v>
      </c>
      <c r="J88">
        <v>2.36</v>
      </c>
      <c r="K88">
        <v>2.0299999999999998</v>
      </c>
      <c r="L88">
        <v>0.28999999999999998</v>
      </c>
      <c r="M88">
        <v>3.9</v>
      </c>
      <c r="N88">
        <v>225.68673200000001</v>
      </c>
      <c r="O88">
        <v>-3.0314874000000001</v>
      </c>
      <c r="P88">
        <v>99.730999999999995</v>
      </c>
      <c r="Q88">
        <v>6.5977600000000001</v>
      </c>
      <c r="R88">
        <v>6.5536899999999996</v>
      </c>
      <c r="S88" s="6">
        <f t="shared" si="5"/>
        <v>1130.2166328238993</v>
      </c>
      <c r="T88">
        <f t="shared" si="4"/>
        <v>-7</v>
      </c>
      <c r="U88" s="1" t="s">
        <v>137</v>
      </c>
    </row>
    <row r="89" spans="1:21" x14ac:dyDescent="0.2">
      <c r="A89" t="s">
        <v>40</v>
      </c>
      <c r="B89" t="s">
        <v>20</v>
      </c>
      <c r="C89">
        <v>1.21987</v>
      </c>
      <c r="D89">
        <v>2.3900000000000001E-2</v>
      </c>
      <c r="E89">
        <v>1.593</v>
      </c>
      <c r="F89">
        <v>2.093</v>
      </c>
      <c r="G89">
        <v>2781.7</v>
      </c>
      <c r="H89" t="s">
        <v>41</v>
      </c>
      <c r="I89">
        <v>7430</v>
      </c>
      <c r="J89">
        <v>1.444</v>
      </c>
      <c r="K89">
        <v>1.4950000000000001</v>
      </c>
      <c r="L89">
        <v>0.1</v>
      </c>
      <c r="M89">
        <v>4.25</v>
      </c>
      <c r="N89">
        <v>36.712737500000003</v>
      </c>
      <c r="O89">
        <v>37.5504441</v>
      </c>
      <c r="P89">
        <v>121.944</v>
      </c>
      <c r="Q89">
        <v>8.14</v>
      </c>
      <c r="R89">
        <v>8.0700400000000005</v>
      </c>
      <c r="S89">
        <f t="shared" si="5"/>
        <v>863.09804630713359</v>
      </c>
      <c r="T89">
        <f t="shared" si="4"/>
        <v>-7</v>
      </c>
    </row>
    <row r="90" spans="1:21" x14ac:dyDescent="0.2">
      <c r="A90" t="s">
        <v>76</v>
      </c>
      <c r="B90" t="s">
        <v>20</v>
      </c>
      <c r="C90">
        <v>6.87188</v>
      </c>
      <c r="D90">
        <v>7.5219999999999995E-2</v>
      </c>
      <c r="E90">
        <v>1.23</v>
      </c>
      <c r="F90">
        <v>3.44</v>
      </c>
      <c r="G90">
        <v>1250</v>
      </c>
      <c r="H90" t="s">
        <v>70</v>
      </c>
      <c r="I90">
        <v>6180</v>
      </c>
      <c r="J90">
        <v>1.52</v>
      </c>
      <c r="K90">
        <v>1.76</v>
      </c>
      <c r="L90">
        <v>-0.02</v>
      </c>
      <c r="M90">
        <v>4.25</v>
      </c>
      <c r="N90">
        <v>243.95971940000001</v>
      </c>
      <c r="O90">
        <v>10.0324103</v>
      </c>
      <c r="P90">
        <v>136.24</v>
      </c>
      <c r="Q90">
        <v>9.391</v>
      </c>
      <c r="R90">
        <v>9.20974</v>
      </c>
      <c r="S90">
        <f t="shared" si="5"/>
        <v>140.68549179703928</v>
      </c>
      <c r="T90">
        <f t="shared" si="4"/>
        <v>-5</v>
      </c>
    </row>
    <row r="91" spans="1:21" x14ac:dyDescent="0.2">
      <c r="A91" t="s">
        <v>112</v>
      </c>
      <c r="B91" t="s">
        <v>20</v>
      </c>
      <c r="C91">
        <v>3.86813881</v>
      </c>
      <c r="D91">
        <v>4.53E-2</v>
      </c>
      <c r="E91">
        <v>1</v>
      </c>
      <c r="F91">
        <v>0.26</v>
      </c>
      <c r="G91">
        <v>971</v>
      </c>
      <c r="H91" t="s">
        <v>113</v>
      </c>
      <c r="I91">
        <v>4792</v>
      </c>
      <c r="J91">
        <v>0.80100000000000005</v>
      </c>
      <c r="K91">
        <v>0.83</v>
      </c>
      <c r="L91">
        <v>0.35</v>
      </c>
      <c r="M91">
        <v>4.57</v>
      </c>
      <c r="N91">
        <v>315.02596610000001</v>
      </c>
      <c r="O91">
        <v>-5.0948570000000002</v>
      </c>
      <c r="P91">
        <v>49.960500000000003</v>
      </c>
      <c r="Q91">
        <v>9.8729999999999993</v>
      </c>
      <c r="R91">
        <v>9.4846599999999999</v>
      </c>
      <c r="S91">
        <f t="shared" si="5"/>
        <v>955.72600175951948</v>
      </c>
      <c r="T91">
        <f t="shared" si="4"/>
        <v>-5</v>
      </c>
      <c r="U91" s="1" t="s">
        <v>137</v>
      </c>
    </row>
    <row r="92" spans="1:21" x14ac:dyDescent="0.2">
      <c r="A92" t="s">
        <v>81</v>
      </c>
      <c r="B92" t="s">
        <v>20</v>
      </c>
      <c r="C92">
        <v>4.9546416000000004</v>
      </c>
      <c r="D92">
        <v>6.1699999999999998E-2</v>
      </c>
      <c r="E92">
        <v>1.33</v>
      </c>
      <c r="F92">
        <v>0.96</v>
      </c>
      <c r="G92">
        <v>1487</v>
      </c>
      <c r="I92">
        <v>6400</v>
      </c>
      <c r="J92">
        <v>1.4319999999999999</v>
      </c>
      <c r="K92">
        <v>1.276</v>
      </c>
      <c r="L92">
        <v>0</v>
      </c>
      <c r="M92">
        <v>4.2320000000000002</v>
      </c>
      <c r="N92">
        <v>311.04275580000001</v>
      </c>
      <c r="O92">
        <v>-39.225485599999999</v>
      </c>
      <c r="P92">
        <v>162.303</v>
      </c>
      <c r="Q92">
        <v>9.5039999999999996</v>
      </c>
      <c r="R92">
        <v>9.3767099999999992</v>
      </c>
      <c r="S92">
        <f t="shared" si="5"/>
        <v>701.18164217622461</v>
      </c>
      <c r="T92">
        <f t="shared" si="4"/>
        <v>-5</v>
      </c>
    </row>
    <row r="93" spans="1:21" x14ac:dyDescent="0.2">
      <c r="A93" t="s">
        <v>90</v>
      </c>
      <c r="B93" t="s">
        <v>20</v>
      </c>
      <c r="C93">
        <v>2.13775</v>
      </c>
      <c r="D93">
        <v>3.4430000000000002E-2</v>
      </c>
      <c r="E93">
        <v>1.36</v>
      </c>
      <c r="F93">
        <v>0.72</v>
      </c>
      <c r="G93">
        <v>1865</v>
      </c>
      <c r="H93" t="s">
        <v>91</v>
      </c>
      <c r="I93">
        <v>5990</v>
      </c>
      <c r="J93">
        <v>1.42</v>
      </c>
      <c r="K93">
        <v>0.98</v>
      </c>
      <c r="L93">
        <v>0.39</v>
      </c>
      <c r="M93">
        <v>4.3899999999999997</v>
      </c>
      <c r="N93">
        <v>304.53884299999999</v>
      </c>
      <c r="O93">
        <v>-1.0760033</v>
      </c>
      <c r="P93">
        <v>149.21600000000001</v>
      </c>
      <c r="Q93">
        <v>9.75</v>
      </c>
      <c r="R93">
        <v>9.5723000000000003</v>
      </c>
      <c r="S93">
        <f t="shared" si="5"/>
        <v>1226.0598654781754</v>
      </c>
      <c r="T93">
        <f t="shared" si="4"/>
        <v>-5</v>
      </c>
    </row>
    <row r="94" spans="1:21" x14ac:dyDescent="0.2">
      <c r="A94" t="s">
        <v>82</v>
      </c>
      <c r="B94" t="s">
        <v>20</v>
      </c>
      <c r="C94">
        <v>1.8098819799999999</v>
      </c>
      <c r="D94">
        <v>3.3000000000000002E-2</v>
      </c>
      <c r="E94">
        <v>1.8540000000000001</v>
      </c>
      <c r="F94">
        <v>0.89400000000000002</v>
      </c>
      <c r="G94">
        <v>2228</v>
      </c>
      <c r="H94" t="s">
        <v>52</v>
      </c>
      <c r="I94">
        <v>6329</v>
      </c>
      <c r="J94">
        <v>1.756</v>
      </c>
      <c r="K94">
        <v>1.458</v>
      </c>
      <c r="L94">
        <v>0.36599999999999999</v>
      </c>
      <c r="M94">
        <v>4.1959999999999997</v>
      </c>
      <c r="N94">
        <v>26.632936000000001</v>
      </c>
      <c r="O94">
        <v>2.7003889999999999</v>
      </c>
      <c r="P94">
        <v>194.459</v>
      </c>
      <c r="Q94">
        <v>9.5180000000000007</v>
      </c>
      <c r="R94">
        <v>9.3950700000000005</v>
      </c>
      <c r="S94">
        <f t="shared" si="5"/>
        <v>2192.2225820487197</v>
      </c>
      <c r="T94">
        <f t="shared" si="4"/>
        <v>-5</v>
      </c>
    </row>
    <row r="95" spans="1:21" x14ac:dyDescent="0.2">
      <c r="A95" t="s">
        <v>126</v>
      </c>
      <c r="B95" t="s">
        <v>20</v>
      </c>
      <c r="C95">
        <v>3.6623920000000001</v>
      </c>
      <c r="D95">
        <v>5.1900000000000002E-2</v>
      </c>
      <c r="E95">
        <v>1.53</v>
      </c>
      <c r="F95">
        <v>0.85</v>
      </c>
      <c r="G95">
        <v>1716.2</v>
      </c>
      <c r="H95" t="s">
        <v>127</v>
      </c>
      <c r="I95">
        <v>6600</v>
      </c>
      <c r="J95">
        <v>1.51</v>
      </c>
      <c r="K95">
        <v>1.39</v>
      </c>
      <c r="L95">
        <v>0.03</v>
      </c>
      <c r="M95">
        <v>4.2</v>
      </c>
      <c r="N95">
        <v>66.370901599999996</v>
      </c>
      <c r="O95">
        <v>-30.600436200000001</v>
      </c>
      <c r="P95">
        <v>246.69</v>
      </c>
      <c r="Q95">
        <v>10.044</v>
      </c>
      <c r="R95">
        <v>9.9720200000000006</v>
      </c>
      <c r="S95">
        <f t="shared" si="5"/>
        <v>1209.5375438309629</v>
      </c>
      <c r="T95">
        <f t="shared" si="4"/>
        <v>-5</v>
      </c>
    </row>
    <row r="96" spans="1:21" x14ac:dyDescent="0.2">
      <c r="A96" t="s">
        <v>96</v>
      </c>
      <c r="B96" t="s">
        <v>20</v>
      </c>
      <c r="C96">
        <v>8.1587200000000006</v>
      </c>
      <c r="D96">
        <v>8.0100000000000005E-2</v>
      </c>
      <c r="E96">
        <v>1.1299999999999999</v>
      </c>
      <c r="F96">
        <v>2.54</v>
      </c>
      <c r="G96">
        <v>1059</v>
      </c>
      <c r="H96" t="s">
        <v>97</v>
      </c>
      <c r="I96">
        <v>5600</v>
      </c>
      <c r="J96">
        <v>1.03</v>
      </c>
      <c r="K96">
        <v>1.34</v>
      </c>
      <c r="L96">
        <v>0.17</v>
      </c>
      <c r="M96">
        <v>4.5</v>
      </c>
      <c r="N96">
        <v>359.90087369999998</v>
      </c>
      <c r="O96">
        <v>-35.031334899999997</v>
      </c>
      <c r="P96">
        <v>89.960599999999999</v>
      </c>
      <c r="Q96">
        <v>9.7889999999999997</v>
      </c>
      <c r="R96">
        <v>9.6124899999999993</v>
      </c>
      <c r="S96">
        <f t="shared" si="5"/>
        <v>136.24063220140397</v>
      </c>
      <c r="T96">
        <f t="shared" si="4"/>
        <v>-5</v>
      </c>
    </row>
    <row r="97" spans="1:20" x14ac:dyDescent="0.2">
      <c r="A97" t="s">
        <v>132</v>
      </c>
      <c r="B97" t="s">
        <v>20</v>
      </c>
      <c r="C97">
        <v>2.7057899999999999</v>
      </c>
      <c r="D97">
        <v>4.4699999999999997E-2</v>
      </c>
      <c r="E97">
        <v>1.62</v>
      </c>
      <c r="F97">
        <v>1.17</v>
      </c>
      <c r="G97">
        <v>2190</v>
      </c>
      <c r="H97" t="s">
        <v>127</v>
      </c>
      <c r="I97">
        <v>6480</v>
      </c>
      <c r="J97">
        <v>2.1</v>
      </c>
      <c r="K97">
        <v>1.48</v>
      </c>
      <c r="L97">
        <v>0.12</v>
      </c>
      <c r="M97">
        <v>3.96</v>
      </c>
      <c r="N97">
        <v>72.660591600000004</v>
      </c>
      <c r="O97">
        <v>1.8938364999999999</v>
      </c>
      <c r="P97">
        <v>275.66399999999999</v>
      </c>
      <c r="Q97">
        <v>10.073</v>
      </c>
      <c r="R97">
        <v>9.8979599999999994</v>
      </c>
      <c r="S97">
        <f t="shared" si="5"/>
        <v>1257.117296864338</v>
      </c>
      <c r="T97">
        <f t="shared" si="4"/>
        <v>-5</v>
      </c>
    </row>
    <row r="98" spans="1:20" x14ac:dyDescent="0.2">
      <c r="A98" t="s">
        <v>128</v>
      </c>
      <c r="B98" t="s">
        <v>20</v>
      </c>
      <c r="C98">
        <v>3.9501900000000001</v>
      </c>
      <c r="D98">
        <v>5.5E-2</v>
      </c>
      <c r="E98">
        <v>1.58</v>
      </c>
      <c r="F98">
        <v>0.5</v>
      </c>
      <c r="G98">
        <v>1604</v>
      </c>
      <c r="H98" t="s">
        <v>54</v>
      </c>
      <c r="I98">
        <v>6170</v>
      </c>
      <c r="J98">
        <v>1.48</v>
      </c>
      <c r="K98">
        <v>1.67</v>
      </c>
      <c r="L98">
        <v>0.26</v>
      </c>
      <c r="M98">
        <v>4.2699999999999996</v>
      </c>
      <c r="N98">
        <v>313.78323929999999</v>
      </c>
      <c r="O98">
        <v>-34.135751200000001</v>
      </c>
      <c r="P98">
        <v>211.21100000000001</v>
      </c>
      <c r="Q98">
        <v>10.051</v>
      </c>
      <c r="R98">
        <v>10.028499999999999</v>
      </c>
      <c r="S98">
        <f t="shared" si="5"/>
        <v>2049.4439875099679</v>
      </c>
      <c r="T98">
        <f t="shared" si="4"/>
        <v>-5</v>
      </c>
    </row>
    <row r="99" spans="1:20" x14ac:dyDescent="0.2">
      <c r="A99" t="s">
        <v>133</v>
      </c>
      <c r="B99" t="s">
        <v>20</v>
      </c>
      <c r="C99">
        <v>2.1846700000000001</v>
      </c>
      <c r="D99">
        <v>3.4160000000000003E-2</v>
      </c>
      <c r="E99">
        <v>1.23</v>
      </c>
      <c r="F99">
        <v>1.44</v>
      </c>
      <c r="G99">
        <v>1570</v>
      </c>
      <c r="H99" t="s">
        <v>134</v>
      </c>
      <c r="I99">
        <v>5830</v>
      </c>
      <c r="J99">
        <v>1.23</v>
      </c>
      <c r="K99">
        <v>1.46</v>
      </c>
      <c r="L99">
        <v>0.14000000000000001</v>
      </c>
      <c r="M99">
        <v>4.3600000000000003</v>
      </c>
      <c r="N99">
        <v>337.45782430000003</v>
      </c>
      <c r="O99">
        <v>-48.003098799999997</v>
      </c>
      <c r="P99">
        <v>137.54400000000001</v>
      </c>
      <c r="Q99">
        <v>10.092000000000001</v>
      </c>
      <c r="R99">
        <v>9.9369700000000005</v>
      </c>
      <c r="S99">
        <f t="shared" si="5"/>
        <v>422.11900227636102</v>
      </c>
      <c r="T99">
        <f t="shared" si="4"/>
        <v>-5</v>
      </c>
    </row>
    <row r="100" spans="1:20" x14ac:dyDescent="0.2">
      <c r="A100" t="s">
        <v>79</v>
      </c>
      <c r="B100" t="s">
        <v>20</v>
      </c>
      <c r="C100">
        <v>5.75251</v>
      </c>
      <c r="D100">
        <v>7.17E-2</v>
      </c>
      <c r="E100">
        <v>1.02</v>
      </c>
      <c r="F100">
        <v>2.4300000000000002</v>
      </c>
      <c r="G100">
        <v>1480</v>
      </c>
      <c r="H100" t="s">
        <v>54</v>
      </c>
      <c r="I100">
        <v>6150</v>
      </c>
      <c r="J100">
        <v>1.64</v>
      </c>
      <c r="K100">
        <v>1.21</v>
      </c>
      <c r="L100">
        <v>0.21</v>
      </c>
      <c r="M100">
        <v>4.3</v>
      </c>
      <c r="N100">
        <v>39.897668899999999</v>
      </c>
      <c r="O100">
        <v>-50.008193400000003</v>
      </c>
      <c r="P100">
        <v>158.66</v>
      </c>
      <c r="Q100">
        <v>9.4749999999999996</v>
      </c>
      <c r="R100">
        <v>9.3251000000000008</v>
      </c>
      <c r="S100">
        <f t="shared" si="5"/>
        <v>162.15983922320817</v>
      </c>
      <c r="T100">
        <f t="shared" si="4"/>
        <v>-5</v>
      </c>
    </row>
    <row r="101" spans="1:20" x14ac:dyDescent="0.2">
      <c r="A101" t="s">
        <v>107</v>
      </c>
      <c r="B101" t="s">
        <v>20</v>
      </c>
      <c r="C101">
        <v>3.1915399999999998</v>
      </c>
      <c r="D101">
        <v>4.7600000000000003E-2</v>
      </c>
      <c r="E101">
        <v>1.41</v>
      </c>
      <c r="F101">
        <v>7.29</v>
      </c>
      <c r="G101">
        <v>1729</v>
      </c>
      <c r="H101" t="s">
        <v>108</v>
      </c>
      <c r="I101">
        <v>6429</v>
      </c>
      <c r="J101">
        <v>1.54</v>
      </c>
      <c r="K101">
        <v>0.57999999999999996</v>
      </c>
      <c r="L101">
        <v>-0.18</v>
      </c>
      <c r="M101">
        <v>3.95</v>
      </c>
      <c r="N101">
        <v>65.469581399999996</v>
      </c>
      <c r="O101">
        <v>57.817209499999997</v>
      </c>
      <c r="P101">
        <v>213.053</v>
      </c>
      <c r="Q101">
        <v>9.8539999999999992</v>
      </c>
      <c r="R101">
        <v>9.7388899999999996</v>
      </c>
      <c r="S101">
        <f t="shared" si="5"/>
        <v>120.66830436099001</v>
      </c>
      <c r="T101">
        <f t="shared" si="4"/>
        <v>-5</v>
      </c>
    </row>
  </sheetData>
  <autoFilter ref="A1:X101" xr:uid="{00000000-0001-0000-0000-000000000000}"/>
  <sortState xmlns:xlrd2="http://schemas.microsoft.com/office/spreadsheetml/2017/richdata2" ref="A2:R78">
    <sortCondition ref="Q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Targets_V10p1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Tanzer, Andrea</cp:lastModifiedBy>
  <dcterms:created xsi:type="dcterms:W3CDTF">2026-01-18T12:08:00Z</dcterms:created>
  <dcterms:modified xsi:type="dcterms:W3CDTF">2026-03-17T13:39:18Z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