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6FF0A03E-0F62-5149-AF0C-CED0BE51F159}" xr6:coauthVersionLast="47" xr6:coauthVersionMax="47" xr10:uidLastSave="{00000000-0000-0000-0000-000000000000}"/>
  <bookViews>
    <workbookView xWindow="0" yWindow="600" windowWidth="33600" windowHeight="1482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0" i="1" l="1"/>
  <c r="T2" i="1"/>
  <c r="S2" i="1"/>
  <c r="T3" i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<sst xmlns="http://schemas.openxmlformats.org/spreadsheetml/2006/main" count="241" uniqueCount="140">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</sst>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0"/>
  <sheetViews>
    <sheetView tabSelected="1" zoomScale="125" workbookViewId="0">
      <pane ySplit="1" topLeftCell="A65" activePane="bottomLeft" state="frozen"/>
      <selection pane="bottomLeft" activeCell="P81" sqref="P81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>
        <v>6801</v>
      </c>
      <c r="J2" s="6">
        <v>1.56</v>
      </c>
      <c r="K2" s="6">
        <v>1.43</v>
      </c>
      <c r="L2" s="6">
        <v>0.02</v>
      </c>
      <c r="M2" s="6">
        <v>4.21</v>
      </c>
      <c r="N2" s="6">
        <v>7.3289156000000002</v>
      </c>
      <c r="O2" s="6">
        <v>-76.304032000000007</v>
      </c>
      <c r="P2" s="6">
        <v>196.852</v>
      </c>
      <c r="Q2" s="6">
        <v>9.5950000000000006</v>
      </c>
      <c r="R2" s="6">
        <v>9.5202500000000008</v>
      </c>
      <c r="S2" s="6">
        <f t="shared" ref="S2:S33" si="0">(0.000000000000000138*G2/(1.673534E-24*1.3*0.000000066726*F2*1.8986E+30/(E2*7149200000)^2))/100000</f>
        <v>934.76971602454307</v>
      </c>
      <c r="T2" s="6">
        <f t="shared" ref="T2:T33" si="1">IF(I2&gt;6800,-7,-5)</f>
        <v>-7</v>
      </c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 t="shared" si="0"/>
        <v>1286.8653667451285</v>
      </c>
      <c r="T3" s="6">
        <f t="shared" si="1"/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 t="shared" si="0"/>
        <v>56.120615203365361</v>
      </c>
      <c r="T4" s="6">
        <f t="shared" si="1"/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 t="shared" si="0"/>
        <v>1130.2166328238993</v>
      </c>
      <c r="T5" s="6">
        <f t="shared" si="1"/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 t="shared" si="0"/>
        <v>955.72600175951948</v>
      </c>
      <c r="T6" s="6">
        <f t="shared" si="1"/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 t="shared" si="0"/>
        <v>1121.1126749906216</v>
      </c>
      <c r="T7">
        <f t="shared" si="1"/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 t="shared" si="0"/>
        <v>243.60813720463176</v>
      </c>
      <c r="T8">
        <f t="shared" si="1"/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 t="shared" si="0"/>
        <v>39.515068300859213</v>
      </c>
      <c r="T9">
        <f t="shared" si="1"/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 t="shared" si="0"/>
        <v>200.46131426194896</v>
      </c>
      <c r="T10">
        <f t="shared" si="1"/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 t="shared" si="0"/>
        <v>2101.5864855136347</v>
      </c>
      <c r="T11">
        <f t="shared" si="1"/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 t="shared" si="0"/>
        <v>387.53401759458865</v>
      </c>
      <c r="T12">
        <f t="shared" si="1"/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 t="shared" si="0"/>
        <v>338.15838787809196</v>
      </c>
      <c r="T13">
        <f t="shared" si="1"/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 t="shared" si="0"/>
        <v>211.51519610586323</v>
      </c>
      <c r="T14">
        <f t="shared" si="1"/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 t="shared" si="0"/>
        <v>797.33090232058362</v>
      </c>
      <c r="T15">
        <f t="shared" si="1"/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 t="shared" si="0"/>
        <v>599.63628364223177</v>
      </c>
      <c r="T16">
        <f t="shared" si="1"/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 t="shared" si="0"/>
        <v>597.79498778467087</v>
      </c>
      <c r="T17">
        <f t="shared" si="1"/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 t="shared" si="0"/>
        <v>349.61677638948368</v>
      </c>
      <c r="T18">
        <f t="shared" si="1"/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 t="shared" si="0"/>
        <v>1280.5918535006856</v>
      </c>
      <c r="T19">
        <f t="shared" si="1"/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 t="shared" si="0"/>
        <v>988.21070019970352</v>
      </c>
      <c r="T20">
        <f t="shared" si="1"/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 t="shared" si="0"/>
        <v>956.09264119622901</v>
      </c>
      <c r="T21">
        <f t="shared" si="1"/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 t="shared" si="0"/>
        <v>742.8583931109747</v>
      </c>
      <c r="T22">
        <f t="shared" si="1"/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 t="shared" si="0"/>
        <v>574.11765847468712</v>
      </c>
      <c r="T23">
        <f t="shared" si="1"/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 t="shared" si="0"/>
        <v>668.81110409377118</v>
      </c>
      <c r="T24">
        <f t="shared" si="1"/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 t="shared" si="0"/>
        <v>1103.5971886171305</v>
      </c>
      <c r="T25">
        <f t="shared" si="1"/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 t="shared" si="0"/>
        <v>662.28004924519439</v>
      </c>
      <c r="T26">
        <f t="shared" si="1"/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 t="shared" si="0"/>
        <v>3894.9775251994533</v>
      </c>
      <c r="T27">
        <f t="shared" si="1"/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 t="shared" si="0"/>
        <v>948.15286253702118</v>
      </c>
      <c r="T28">
        <f t="shared" si="1"/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 t="shared" si="0"/>
        <v>443.85469120292152</v>
      </c>
      <c r="T29">
        <f t="shared" si="1"/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 t="shared" si="0"/>
        <v>570.64953846380126</v>
      </c>
      <c r="T30">
        <f t="shared" si="1"/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 t="shared" si="0"/>
        <v>518.80488815900412</v>
      </c>
      <c r="T31">
        <f t="shared" si="1"/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 t="shared" si="0"/>
        <v>99.730517672190274</v>
      </c>
      <c r="T32">
        <f t="shared" si="1"/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 t="shared" si="0"/>
        <v>582.97620763372299</v>
      </c>
      <c r="T33">
        <f t="shared" si="1"/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 t="shared" ref="S34:S65" si="2">(0.000000000000000138*G34/(1.673534E-24*1.3*0.000000066726*F34*1.8986E+30/(E34*7149200000)^2))/100000</f>
        <v>1492.9814393090719</v>
      </c>
      <c r="T34">
        <f t="shared" ref="T34:T65" si="3"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 t="shared" si="2"/>
        <v>965.25628287035329</v>
      </c>
      <c r="T35">
        <f t="shared" si="3"/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 t="shared" si="2"/>
        <v>160.76196513632402</v>
      </c>
      <c r="T36">
        <f t="shared" si="3"/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 t="shared" si="2"/>
        <v>972.96006983022733</v>
      </c>
      <c r="T37">
        <f t="shared" si="3"/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 t="shared" si="2"/>
        <v>457.63140850776114</v>
      </c>
      <c r="T38">
        <f t="shared" si="3"/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 t="shared" si="2"/>
        <v>789.006338593706</v>
      </c>
      <c r="T39">
        <f t="shared" si="3"/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 t="shared" si="2"/>
        <v>1175.9460676296278</v>
      </c>
      <c r="T40">
        <f t="shared" si="3"/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 t="shared" si="2"/>
        <v>1399.2265914107247</v>
      </c>
      <c r="T41">
        <f t="shared" si="3"/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 t="shared" si="2"/>
        <v>353.31388599481477</v>
      </c>
      <c r="T42">
        <f t="shared" si="3"/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 t="shared" si="2"/>
        <v>882.20971786077962</v>
      </c>
      <c r="T43">
        <f t="shared" si="3"/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 t="shared" si="2"/>
        <v>431.57254486096394</v>
      </c>
      <c r="T44">
        <f t="shared" si="3"/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 t="shared" si="2"/>
        <v>974.78820571370204</v>
      </c>
      <c r="T45">
        <f t="shared" si="3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3"/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 t="shared" si="2"/>
        <v>1324.5165539963698</v>
      </c>
      <c r="T47">
        <f t="shared" si="3"/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 t="shared" si="2"/>
        <v>55.915145726222889</v>
      </c>
      <c r="T48">
        <f t="shared" si="3"/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 t="shared" si="2"/>
        <v>77.040187113891676</v>
      </c>
      <c r="T49">
        <f t="shared" si="3"/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 t="shared" si="2"/>
        <v>83.670803141549356</v>
      </c>
      <c r="T50">
        <f t="shared" si="3"/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 t="shared" si="2"/>
        <v>777.64358420307099</v>
      </c>
      <c r="T51">
        <f t="shared" si="3"/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 t="shared" si="2"/>
        <v>755.33252275944176</v>
      </c>
      <c r="T52">
        <f t="shared" si="3"/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 t="shared" si="2"/>
        <v>318.17832033985127</v>
      </c>
      <c r="T53">
        <f t="shared" si="3"/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 t="shared" si="2"/>
        <v>36.149567272802649</v>
      </c>
      <c r="T54">
        <f t="shared" si="3"/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 t="shared" si="2"/>
        <v>224.58825733889913</v>
      </c>
      <c r="T55">
        <f t="shared" si="3"/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 t="shared" si="2"/>
        <v>1039.84328949877</v>
      </c>
      <c r="T56">
        <f t="shared" si="3"/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 t="shared" si="2"/>
        <v>1107.9861243219782</v>
      </c>
      <c r="T57">
        <f t="shared" si="3"/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 t="shared" si="2"/>
        <v>487.59044264912109</v>
      </c>
      <c r="T58">
        <f t="shared" si="3"/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 t="shared" si="2"/>
        <v>795.95548671567838</v>
      </c>
      <c r="T59">
        <f t="shared" si="3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3"/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 t="shared" si="2"/>
        <v>267.77715667890726</v>
      </c>
      <c r="T61">
        <f t="shared" si="3"/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 t="shared" si="2"/>
        <v>2057.1154637812851</v>
      </c>
      <c r="T62">
        <f t="shared" si="3"/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 t="shared" si="2"/>
        <v>621.55661806820979</v>
      </c>
      <c r="T63">
        <f t="shared" si="3"/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 t="shared" si="2"/>
        <v>103.20465157174387</v>
      </c>
      <c r="T64">
        <f t="shared" si="3"/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 t="shared" si="2"/>
        <v>1277.1766379712274</v>
      </c>
      <c r="T65">
        <f t="shared" si="3"/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 t="shared" ref="S66:S79" si="4">(0.000000000000000138*G66/(1.673534E-24*1.3*0.000000066726*F66*1.8986E+30/(E66*7149200000)^2))/100000</f>
        <v>1247.4798366438731</v>
      </c>
      <c r="T66">
        <f t="shared" ref="T66:T80" si="5"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 t="shared" si="4"/>
        <v>93.704022194109143</v>
      </c>
      <c r="T67">
        <f t="shared" si="5"/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 t="shared" si="4"/>
        <v>863.09804630713359</v>
      </c>
      <c r="T68">
        <f t="shared" si="5"/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 t="shared" si="4"/>
        <v>140.68549179703928</v>
      </c>
      <c r="T69">
        <f t="shared" si="5"/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 t="shared" si="4"/>
        <v>701.18164217622461</v>
      </c>
      <c r="T70">
        <f t="shared" si="5"/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 t="shared" si="4"/>
        <v>1226.0598654781754</v>
      </c>
      <c r="T71">
        <f t="shared" si="5"/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 t="shared" si="4"/>
        <v>2192.2225820487197</v>
      </c>
      <c r="T72">
        <f t="shared" si="5"/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 t="shared" si="4"/>
        <v>1209.5375438309629</v>
      </c>
      <c r="T73">
        <f t="shared" si="5"/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 t="shared" si="4"/>
        <v>136.24063220140397</v>
      </c>
      <c r="T74">
        <f t="shared" si="5"/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 t="shared" si="4"/>
        <v>1257.117296864338</v>
      </c>
      <c r="T75">
        <f t="shared" si="5"/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 t="shared" si="4"/>
        <v>2049.4439875099679</v>
      </c>
      <c r="T76">
        <f t="shared" si="5"/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 t="shared" si="4"/>
        <v>422.11900227636102</v>
      </c>
      <c r="T77">
        <f t="shared" si="5"/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 t="shared" si="4"/>
        <v>162.15983922320817</v>
      </c>
      <c r="T78">
        <f t="shared" si="5"/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 t="shared" si="4"/>
        <v>120.66830436099001</v>
      </c>
      <c r="T79">
        <f t="shared" si="5"/>
        <v>-5</v>
      </c>
    </row>
    <row r="80" spans="1:20" x14ac:dyDescent="0.2">
      <c r="A80" s="4" t="s">
        <v>139</v>
      </c>
      <c r="B80" t="s">
        <v>20</v>
      </c>
      <c r="I80">
        <v>6200</v>
      </c>
      <c r="J80">
        <v>1.2</v>
      </c>
      <c r="N80">
        <v>97.636728000000005</v>
      </c>
      <c r="O80">
        <v>29.672419000000001</v>
      </c>
      <c r="P80">
        <v>427</v>
      </c>
      <c r="T80">
        <f t="shared" si="5"/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2026-03-10T11:16:31Z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