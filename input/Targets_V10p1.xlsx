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D4B23092-5FBC-B647-9913-098037DAD8D7}" xr6:coauthVersionLast="47" xr6:coauthVersionMax="47" xr10:uidLastSave="{00000000-0000-0000-0000-000000000000}"/>
  <bookViews>
    <workbookView xWindow="53100" yWindow="14040" windowWidth="19620" windowHeight="13340" xr2:uid="{00000000-000D-0000-FFFF-FFFF00000000}"/>
  </bookViews>
  <sheets>
    <sheet name="Targets_V10p1" sheetId="1" r:id="rId1"/>
  </sheets>
  <definedNames>
    <definedName name="_xlnm._FilterDatabase" localSheetId="0" hidden="1">Targets_V10p1!$A$1:$X$101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81" i="1"/>
  <c r="T37" i="1"/>
  <c r="S37" i="1"/>
  <c r="T57" i="1"/>
  <c r="T88" i="1"/>
  <c r="T91" i="1"/>
  <c r="T89" i="1"/>
  <c r="T30" i="1"/>
  <c r="T36" i="1"/>
  <c r="T56" i="1"/>
  <c r="T55" i="1"/>
  <c r="T33" i="1"/>
  <c r="T47" i="1"/>
  <c r="T38" i="1"/>
  <c r="T50" i="1"/>
  <c r="T45" i="1"/>
  <c r="T21" i="1"/>
  <c r="T31" i="1"/>
  <c r="T63" i="1"/>
  <c r="T77" i="1"/>
  <c r="T67" i="1"/>
  <c r="T79" i="1"/>
  <c r="T43" i="1"/>
  <c r="T72" i="1"/>
  <c r="T61" i="1"/>
  <c r="T87" i="1"/>
  <c r="T85" i="1"/>
  <c r="T40" i="1"/>
  <c r="T90" i="1"/>
  <c r="T60" i="1"/>
  <c r="T27" i="1"/>
  <c r="T100" i="1"/>
  <c r="T92" i="1"/>
  <c r="T94" i="1"/>
  <c r="T59" i="1"/>
  <c r="T58" i="1"/>
  <c r="T68" i="1"/>
  <c r="T64" i="1"/>
  <c r="T24" i="1"/>
  <c r="T84" i="1"/>
  <c r="T93" i="1"/>
  <c r="T74" i="1"/>
  <c r="T22" i="1"/>
  <c r="T25" i="1"/>
  <c r="T96" i="1"/>
  <c r="T54" i="1"/>
  <c r="T53" i="1"/>
  <c r="T35" i="1"/>
  <c r="T65" i="1"/>
  <c r="T48" i="1"/>
  <c r="T41" i="1"/>
  <c r="T78" i="1"/>
  <c r="T19" i="1"/>
  <c r="T101" i="1"/>
  <c r="T44" i="1"/>
  <c r="T66" i="1"/>
  <c r="T76" i="1"/>
  <c r="T70" i="1"/>
  <c r="T86" i="1"/>
  <c r="T73" i="1"/>
  <c r="T71" i="1"/>
  <c r="T83" i="1"/>
  <c r="T49" i="1"/>
  <c r="T20" i="1"/>
  <c r="T95" i="1"/>
  <c r="T98" i="1"/>
  <c r="T75" i="1"/>
  <c r="T82" i="1"/>
  <c r="T97" i="1"/>
  <c r="T99" i="1"/>
  <c r="T28" i="1"/>
  <c r="T42" i="1"/>
  <c r="T62" i="1"/>
  <c r="T39" i="1"/>
  <c r="T29" i="1"/>
  <c r="T32" i="1"/>
  <c r="T34" i="1"/>
  <c r="T46" i="1"/>
  <c r="T69" i="1"/>
  <c r="S88" i="1"/>
  <c r="S47" i="1"/>
  <c r="S99" i="1"/>
  <c r="S97" i="1"/>
  <c r="S82" i="1"/>
  <c r="S75" i="1"/>
  <c r="S98" i="1"/>
  <c r="S95" i="1"/>
  <c r="S20" i="1"/>
  <c r="S49" i="1"/>
  <c r="S83" i="1"/>
  <c r="S71" i="1"/>
  <c r="S73" i="1"/>
  <c r="S86" i="1"/>
  <c r="S70" i="1"/>
  <c r="S76" i="1"/>
  <c r="S91" i="1"/>
  <c r="S66" i="1"/>
  <c r="S44" i="1"/>
  <c r="S101" i="1"/>
  <c r="S19" i="1"/>
  <c r="S78" i="1"/>
  <c r="S41" i="1"/>
  <c r="S48" i="1"/>
  <c r="S65" i="1"/>
  <c r="S35" i="1"/>
  <c r="S53" i="1"/>
  <c r="S54" i="1"/>
  <c r="S96" i="1"/>
  <c r="S25" i="1"/>
  <c r="S22" i="1"/>
  <c r="S74" i="1"/>
  <c r="S93" i="1"/>
  <c r="S84" i="1"/>
  <c r="S24" i="1"/>
  <c r="S64" i="1"/>
  <c r="S68" i="1"/>
  <c r="S58" i="1"/>
  <c r="S59" i="1"/>
  <c r="S94" i="1"/>
  <c r="S92" i="1"/>
  <c r="S57" i="1"/>
  <c r="S100" i="1"/>
  <c r="S27" i="1"/>
  <c r="S60" i="1"/>
  <c r="S90" i="1"/>
  <c r="S40" i="1"/>
  <c r="S85" i="1"/>
  <c r="S87" i="1"/>
  <c r="S61" i="1"/>
  <c r="S72" i="1"/>
  <c r="S43" i="1"/>
  <c r="S79" i="1"/>
  <c r="S67" i="1"/>
  <c r="S77" i="1"/>
  <c r="S63" i="1"/>
  <c r="S31" i="1"/>
  <c r="S21" i="1"/>
  <c r="S45" i="1"/>
  <c r="S50" i="1"/>
  <c r="S38" i="1"/>
  <c r="S33" i="1"/>
  <c r="S55" i="1"/>
  <c r="S56" i="1"/>
  <c r="S36" i="1"/>
  <c r="S30" i="1"/>
  <c r="S89" i="1"/>
  <c r="S28" i="1"/>
  <c r="S42" i="1"/>
  <c r="S62" i="1"/>
  <c r="S39" i="1"/>
  <c r="S29" i="1"/>
  <c r="S32" i="1"/>
  <c r="S34" i="1"/>
  <c r="S69" i="1"/>
</calcChain>
</file>

<file path=xl/sharedStrings.xml><?xml version="1.0" encoding="utf-8"?>
<sst xmlns="http://schemas.openxmlformats.org/spreadsheetml/2006/main" count="281" uniqueCount="166">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</sst>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1"/>
  <sheetViews>
    <sheetView tabSelected="1" zoomScale="125" workbookViewId="0">
      <pane ySplit="1" topLeftCell="A2" activePane="bottomLeft" state="frozen"/>
      <selection pane="bottomLeft" activeCell="A19" sqref="A19:XFD19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hidden="1" customWidth="1"/>
    <col min="9" max="9" width="8.6640625" bestFit="1" customWidth="1"/>
    <col min="10" max="10" width="12.1640625" bestFit="1" customWidth="1"/>
    <col min="11" max="11" width="10.1640625" hidden="1" customWidth="1"/>
    <col min="12" max="12" width="8.83203125" hidden="1" customWidth="1"/>
    <col min="13" max="14" width="12.1640625" hidden="1" customWidth="1"/>
    <col min="15" max="15" width="12.6640625" hidden="1" customWidth="1"/>
    <col min="16" max="16" width="9.1640625" hidden="1" customWidth="1"/>
    <col min="17" max="17" width="12.1640625" hidden="1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.1640625" bestFit="1" customWidth="1"/>
    <col min="23" max="23" width="12" bestFit="1" customWidth="1"/>
    <col min="24" max="24" width="9.83203125" bestFit="1" customWidth="1"/>
    <col min="25" max="25" width="9"/>
    <col min="27" max="27" width="9.83203125"/>
    <col min="28" max="28" width="9"/>
    <col min="30" max="30" width="9.83203125"/>
    <col min="31" max="31" width="9"/>
    <col min="36" max="36" width="9.83203125"/>
    <col min="37" max="37" width="9"/>
    <col min="42" max="42" width="9.83203125"/>
    <col min="43" max="43" width="9"/>
    <col min="45" max="45" width="9.83203125"/>
    <col min="46" max="46" width="9"/>
    <col min="55" max="55" width="8.1640625"/>
  </cols>
  <sheetData>
    <row r="1" spans="1:5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144</v>
      </c>
      <c r="W1" s="2" t="s">
        <v>145</v>
      </c>
      <c r="X1" s="2" t="s">
        <v>146</v>
      </c>
    </row>
    <row r="2" spans="1:55" x14ac:dyDescent="0.2">
      <c r="A2" t="s">
        <v>165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V2">
        <v>11.035</v>
      </c>
      <c r="W2">
        <v>12.885999999999999</v>
      </c>
      <c r="X2" t="s">
        <v>150</v>
      </c>
      <c r="AZ2" s="3"/>
      <c r="BB2" s="3"/>
      <c r="BC2" s="3"/>
    </row>
    <row r="3" spans="1:55" x14ac:dyDescent="0.2">
      <c r="A3" t="s">
        <v>149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V3">
        <v>10.977</v>
      </c>
      <c r="W3">
        <v>12.571999999999999</v>
      </c>
      <c r="X3" t="s">
        <v>150</v>
      </c>
      <c r="AZ3" s="3"/>
      <c r="BB3" s="3"/>
      <c r="BC3" s="3"/>
    </row>
    <row r="4" spans="1:55" x14ac:dyDescent="0.2">
      <c r="A4" t="s">
        <v>147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V4">
        <v>10.968999999999999</v>
      </c>
      <c r="W4">
        <v>11.454000000000001</v>
      </c>
      <c r="X4" t="s">
        <v>148</v>
      </c>
      <c r="AZ4" s="3"/>
      <c r="BB4" s="3"/>
      <c r="BC4" s="3"/>
    </row>
    <row r="5" spans="1:55" x14ac:dyDescent="0.2">
      <c r="A5" t="s">
        <v>151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V5">
        <v>15.965999999999999</v>
      </c>
      <c r="W5">
        <v>16.86</v>
      </c>
      <c r="X5" t="s">
        <v>148</v>
      </c>
      <c r="AZ5" s="3"/>
      <c r="BB5" s="3"/>
      <c r="BC5" s="3"/>
    </row>
    <row r="6" spans="1:55" x14ac:dyDescent="0.2">
      <c r="A6" t="s">
        <v>162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V6">
        <v>17.052</v>
      </c>
      <c r="W6">
        <v>17.364000000000001</v>
      </c>
      <c r="X6" t="s">
        <v>148</v>
      </c>
      <c r="AZ6" s="3"/>
      <c r="BB6" s="3"/>
      <c r="BC6" s="3"/>
    </row>
    <row r="7" spans="1:55" x14ac:dyDescent="0.2">
      <c r="A7" t="s">
        <v>154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V7">
        <v>11.997</v>
      </c>
      <c r="W7">
        <v>12.47</v>
      </c>
      <c r="X7" t="s">
        <v>148</v>
      </c>
    </row>
    <row r="8" spans="1:55" x14ac:dyDescent="0.2">
      <c r="A8" t="s">
        <v>157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V8">
        <v>12.978999999999999</v>
      </c>
      <c r="W8">
        <v>13.638999999999999</v>
      </c>
      <c r="X8" t="s">
        <v>148</v>
      </c>
    </row>
    <row r="9" spans="1:55" x14ac:dyDescent="0.2">
      <c r="A9" t="s">
        <v>160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V9">
        <v>14.999000000000001</v>
      </c>
      <c r="W9">
        <v>15.66</v>
      </c>
      <c r="X9" t="s">
        <v>148</v>
      </c>
    </row>
    <row r="10" spans="1:55" x14ac:dyDescent="0.2">
      <c r="A10" t="s">
        <v>161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V10">
        <v>15.007999999999999</v>
      </c>
      <c r="W10">
        <v>15.702999999999999</v>
      </c>
      <c r="X10" t="s">
        <v>150</v>
      </c>
    </row>
    <row r="11" spans="1:55" x14ac:dyDescent="0.2">
      <c r="A11" t="s">
        <v>159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V11">
        <v>14.023</v>
      </c>
      <c r="W11">
        <v>15.048999999999999</v>
      </c>
      <c r="X11" t="s">
        <v>150</v>
      </c>
    </row>
    <row r="12" spans="1:55" x14ac:dyDescent="0.2">
      <c r="A12" t="s">
        <v>163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V12">
        <v>15.958</v>
      </c>
      <c r="W12">
        <v>17.585999999999999</v>
      </c>
      <c r="X12" t="s">
        <v>150</v>
      </c>
    </row>
    <row r="13" spans="1:55" x14ac:dyDescent="0.2">
      <c r="A13" t="s">
        <v>164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R13">
        <v>16.870684000000001</v>
      </c>
      <c r="V13">
        <v>17.097000000000001</v>
      </c>
      <c r="W13">
        <v>18.082999999999998</v>
      </c>
    </row>
    <row r="14" spans="1:55" x14ac:dyDescent="0.2">
      <c r="A14" t="s">
        <v>156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V14">
        <v>12.961</v>
      </c>
      <c r="W14">
        <v>14.082000000000001</v>
      </c>
      <c r="X14" t="s">
        <v>150</v>
      </c>
    </row>
    <row r="15" spans="1:55" x14ac:dyDescent="0.2">
      <c r="A15" t="s">
        <v>158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V15">
        <v>13.994999999999999</v>
      </c>
      <c r="W15">
        <v>14.913</v>
      </c>
      <c r="X15" t="s">
        <v>148</v>
      </c>
    </row>
    <row r="16" spans="1:55" x14ac:dyDescent="0.2">
      <c r="A16" t="s">
        <v>155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V16">
        <v>12.01</v>
      </c>
      <c r="W16">
        <v>12.507</v>
      </c>
      <c r="X16" t="s">
        <v>150</v>
      </c>
    </row>
    <row r="17" spans="1:24" x14ac:dyDescent="0.2">
      <c r="A17" t="s">
        <v>153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V17">
        <v>11.137</v>
      </c>
      <c r="W17">
        <v>11.56</v>
      </c>
      <c r="X17" t="s">
        <v>150</v>
      </c>
    </row>
    <row r="18" spans="1:24" x14ac:dyDescent="0.2">
      <c r="A18" t="s">
        <v>152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V18">
        <v>11.044</v>
      </c>
      <c r="W18">
        <v>11.662000000000001</v>
      </c>
      <c r="X18" t="s">
        <v>148</v>
      </c>
    </row>
    <row r="19" spans="1:24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4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4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4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4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  <c r="V23" s="4"/>
    </row>
    <row r="24" spans="1:24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  <c r="V24" s="4"/>
    </row>
    <row r="25" spans="1:24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4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4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  <c r="V27" s="4"/>
    </row>
    <row r="28" spans="1:24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4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4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  <c r="V30" s="4"/>
    </row>
    <row r="31" spans="1:24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4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  <c r="V32" s="4"/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5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143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141</v>
      </c>
      <c r="I52">
        <v>7433.197265625</v>
      </c>
      <c r="N52">
        <v>286.97138676797078</v>
      </c>
      <c r="O52">
        <v>46.868244058307063</v>
      </c>
      <c r="Q52">
        <v>10.382340431213381</v>
      </c>
      <c r="R52">
        <v>10.382340431213381</v>
      </c>
    </row>
    <row r="53" spans="1:21" x14ac:dyDescent="0.2">
      <c r="A53" t="s">
        <v>100</v>
      </c>
      <c r="B53" t="s">
        <v>20</v>
      </c>
      <c r="C53">
        <v>1.7635879999999999</v>
      </c>
      <c r="D53">
        <v>3.6409999999999998E-2</v>
      </c>
      <c r="E53">
        <v>1.512</v>
      </c>
      <c r="F53">
        <v>9.2799999999999994</v>
      </c>
      <c r="G53">
        <v>2550</v>
      </c>
      <c r="I53">
        <v>7650</v>
      </c>
      <c r="J53">
        <v>1.74</v>
      </c>
      <c r="K53">
        <v>1.72</v>
      </c>
      <c r="L53">
        <v>0.2</v>
      </c>
      <c r="M53">
        <v>4.2</v>
      </c>
      <c r="N53">
        <v>286.97138760000001</v>
      </c>
      <c r="O53">
        <v>46.868246300000003</v>
      </c>
      <c r="P53">
        <v>519.096</v>
      </c>
      <c r="Q53">
        <v>9.7910000000000004</v>
      </c>
      <c r="R53">
        <v>10.367800000000001</v>
      </c>
      <c r="S53">
        <f t="shared" ref="S53:S79" si="2">(0.000000000000000138*G53/(1.673534E-24*1.3*0.000000066726*F53*1.8986E+30/(E53*7149200000)^2))/100000</f>
        <v>160.76196513632402</v>
      </c>
      <c r="T53">
        <f t="shared" ref="T53:T79" si="3">IF(I53&gt;6800,-7,-5)</f>
        <v>-7</v>
      </c>
    </row>
    <row r="54" spans="1:21" x14ac:dyDescent="0.2">
      <c r="A54" t="s">
        <v>98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99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2"/>
        <v>972.96006983022733</v>
      </c>
      <c r="T54">
        <f t="shared" si="3"/>
        <v>-5</v>
      </c>
    </row>
    <row r="55" spans="1:21" x14ac:dyDescent="0.2">
      <c r="A55" t="s">
        <v>48</v>
      </c>
      <c r="B55" t="s">
        <v>20</v>
      </c>
      <c r="C55">
        <v>2.1487738099999998</v>
      </c>
      <c r="D55">
        <v>4.0351999999999999E-2</v>
      </c>
      <c r="E55">
        <v>1.597</v>
      </c>
      <c r="F55">
        <v>3.7</v>
      </c>
      <c r="G55">
        <v>2594.3000000000002</v>
      </c>
      <c r="H55" t="s">
        <v>49</v>
      </c>
      <c r="I55">
        <v>7490</v>
      </c>
      <c r="J55">
        <v>2.0819999999999999</v>
      </c>
      <c r="K55">
        <v>1.9</v>
      </c>
      <c r="L55">
        <v>0.15</v>
      </c>
      <c r="M55">
        <v>4.1050000000000004</v>
      </c>
      <c r="N55">
        <v>317.5515264</v>
      </c>
      <c r="O55">
        <v>10.7388967</v>
      </c>
      <c r="P55">
        <v>182.273</v>
      </c>
      <c r="Q55">
        <v>8.2799999999999994</v>
      </c>
      <c r="R55">
        <v>8.2424300000000006</v>
      </c>
      <c r="S55">
        <f t="shared" si="2"/>
        <v>457.63140850776114</v>
      </c>
      <c r="T55">
        <f t="shared" si="3"/>
        <v>-7</v>
      </c>
    </row>
    <row r="56" spans="1:21" x14ac:dyDescent="0.2">
      <c r="A56" t="s">
        <v>46</v>
      </c>
      <c r="B56" t="s">
        <v>20</v>
      </c>
      <c r="C56">
        <v>2.8240932000000001</v>
      </c>
      <c r="D56">
        <v>4.7399999999999998E-2</v>
      </c>
      <c r="E56">
        <v>1.5149999999999999</v>
      </c>
      <c r="F56">
        <v>1.675</v>
      </c>
      <c r="G56">
        <v>2250</v>
      </c>
      <c r="H56" t="s">
        <v>47</v>
      </c>
      <c r="I56">
        <v>7800</v>
      </c>
      <c r="J56">
        <v>1.79</v>
      </c>
      <c r="K56">
        <v>1.75</v>
      </c>
      <c r="L56">
        <v>0</v>
      </c>
      <c r="M56">
        <v>4.0999999999999996</v>
      </c>
      <c r="N56">
        <v>147.5800667</v>
      </c>
      <c r="O56">
        <v>-66.113925300000005</v>
      </c>
      <c r="P56">
        <v>170.696</v>
      </c>
      <c r="Q56">
        <v>8.1910000000000007</v>
      </c>
      <c r="R56">
        <v>8.1740100000000009</v>
      </c>
      <c r="S56">
        <f t="shared" si="2"/>
        <v>789.006338593706</v>
      </c>
      <c r="T56">
        <f t="shared" si="3"/>
        <v>-7</v>
      </c>
    </row>
    <row r="57" spans="1:21" x14ac:dyDescent="0.2">
      <c r="A57" t="s">
        <v>80</v>
      </c>
      <c r="B57" t="s">
        <v>20</v>
      </c>
      <c r="C57">
        <v>16.249210000000001</v>
      </c>
      <c r="D57">
        <v>0.12909999999999999</v>
      </c>
      <c r="E57">
        <v>1.087</v>
      </c>
      <c r="F57">
        <v>4.34</v>
      </c>
      <c r="G57">
        <v>805.5</v>
      </c>
      <c r="H57" t="s">
        <v>43</v>
      </c>
      <c r="I57">
        <v>5756</v>
      </c>
      <c r="J57">
        <v>1.0860000000000001</v>
      </c>
      <c r="K57">
        <v>1.0820000000000001</v>
      </c>
      <c r="L57">
        <v>0.318</v>
      </c>
      <c r="M57">
        <v>4.4020000000000001</v>
      </c>
      <c r="N57">
        <v>310.29170019999998</v>
      </c>
      <c r="O57">
        <v>3.6382967000000002</v>
      </c>
      <c r="P57">
        <v>93.734499999999997</v>
      </c>
      <c r="Q57">
        <v>9.48</v>
      </c>
      <c r="R57">
        <v>9.4290710000000004</v>
      </c>
      <c r="S57">
        <f t="shared" si="2"/>
        <v>56.120615203365361</v>
      </c>
      <c r="T57">
        <f t="shared" si="3"/>
        <v>-5</v>
      </c>
      <c r="U57" s="1" t="s">
        <v>137</v>
      </c>
    </row>
    <row r="58" spans="1:21" x14ac:dyDescent="0.2">
      <c r="A58" t="s">
        <v>84</v>
      </c>
      <c r="B58" t="s">
        <v>20</v>
      </c>
      <c r="C58">
        <v>8.0277282999999997</v>
      </c>
      <c r="D58">
        <v>8.2337403000000003E-2</v>
      </c>
      <c r="E58">
        <v>0.83243188000000001</v>
      </c>
      <c r="F58">
        <v>0.16200000000000001</v>
      </c>
      <c r="G58">
        <v>1074.28</v>
      </c>
      <c r="H58" t="s">
        <v>43</v>
      </c>
      <c r="I58">
        <v>5962.7</v>
      </c>
      <c r="J58">
        <v>1.1499999999999999</v>
      </c>
      <c r="K58">
        <v>1.156039</v>
      </c>
      <c r="L58">
        <v>0</v>
      </c>
      <c r="M58">
        <v>4.38</v>
      </c>
      <c r="N58">
        <v>193.3963704</v>
      </c>
      <c r="O58">
        <v>85.129495199999994</v>
      </c>
      <c r="P58">
        <v>114.048</v>
      </c>
      <c r="Q58">
        <v>9.5399999999999991</v>
      </c>
      <c r="R58">
        <v>9.4135299999999997</v>
      </c>
      <c r="S58">
        <f t="shared" si="2"/>
        <v>1175.9460676296278</v>
      </c>
      <c r="T58">
        <f t="shared" si="3"/>
        <v>-5</v>
      </c>
    </row>
    <row r="59" spans="1:21" x14ac:dyDescent="0.2">
      <c r="A59" t="s">
        <v>83</v>
      </c>
      <c r="B59" t="s">
        <v>20</v>
      </c>
      <c r="C59">
        <v>12.5199</v>
      </c>
      <c r="D59">
        <v>0.1062</v>
      </c>
      <c r="E59">
        <v>0.41279399999999999</v>
      </c>
      <c r="F59">
        <v>2.627204E-2</v>
      </c>
      <c r="G59">
        <v>843</v>
      </c>
      <c r="I59">
        <v>5770</v>
      </c>
      <c r="J59">
        <v>0.96799999999999997</v>
      </c>
      <c r="K59">
        <v>1.022</v>
      </c>
      <c r="L59">
        <v>7.0000000000000007E-2</v>
      </c>
      <c r="M59">
        <v>4.47</v>
      </c>
      <c r="N59">
        <v>192.1848981</v>
      </c>
      <c r="O59">
        <v>64.855275500000005</v>
      </c>
      <c r="P59">
        <v>84.536199999999994</v>
      </c>
      <c r="Q59">
        <v>9.5340000000000007</v>
      </c>
      <c r="R59">
        <v>9.3678899999999992</v>
      </c>
      <c r="S59">
        <f t="shared" si="2"/>
        <v>1399.2265914107247</v>
      </c>
      <c r="T59">
        <f t="shared" si="3"/>
        <v>-5</v>
      </c>
    </row>
    <row r="60" spans="1:21" x14ac:dyDescent="0.2">
      <c r="A60" t="s">
        <v>77</v>
      </c>
      <c r="B60" t="s">
        <v>20</v>
      </c>
      <c r="C60">
        <v>4.7202190000000002</v>
      </c>
      <c r="D60">
        <v>6.2600000000000003E-2</v>
      </c>
      <c r="E60">
        <v>1.3959999999999999</v>
      </c>
      <c r="F60">
        <v>2.37</v>
      </c>
      <c r="G60">
        <v>1679</v>
      </c>
      <c r="I60">
        <v>6274</v>
      </c>
      <c r="J60">
        <v>1.925</v>
      </c>
      <c r="K60">
        <v>1.464</v>
      </c>
      <c r="L60">
        <v>0.11899999999999999</v>
      </c>
      <c r="M60">
        <v>4.0339999999999998</v>
      </c>
      <c r="N60">
        <v>325.01453629999997</v>
      </c>
      <c r="O60">
        <v>48.4067674</v>
      </c>
      <c r="P60">
        <v>200.49199999999999</v>
      </c>
      <c r="Q60">
        <v>9.4380000000000006</v>
      </c>
      <c r="R60">
        <v>9.3503900000000009</v>
      </c>
      <c r="S60">
        <f t="shared" si="2"/>
        <v>353.31388599481477</v>
      </c>
      <c r="T60">
        <f t="shared" si="3"/>
        <v>-5</v>
      </c>
    </row>
    <row r="61" spans="1:21" x14ac:dyDescent="0.2">
      <c r="A61" t="s">
        <v>69</v>
      </c>
      <c r="B61" t="s">
        <v>20</v>
      </c>
      <c r="C61">
        <v>4.4258699999999997</v>
      </c>
      <c r="D61">
        <v>5.7779999999999998E-2</v>
      </c>
      <c r="E61">
        <v>2.2303544500000001</v>
      </c>
      <c r="F61">
        <v>1.86578665</v>
      </c>
      <c r="G61">
        <v>1293</v>
      </c>
      <c r="H61" t="s">
        <v>70</v>
      </c>
      <c r="I61">
        <v>6117</v>
      </c>
      <c r="J61">
        <v>1.53</v>
      </c>
      <c r="K61">
        <v>1.3120000000000001</v>
      </c>
      <c r="L61">
        <v>0.25</v>
      </c>
      <c r="M61">
        <v>4.0999999999999996</v>
      </c>
      <c r="N61">
        <v>313.5110469</v>
      </c>
      <c r="O61">
        <v>72.580645500000003</v>
      </c>
      <c r="P61">
        <v>139.48400000000001</v>
      </c>
      <c r="Q61">
        <v>9.2700010000000006</v>
      </c>
      <c r="R61">
        <v>9.1879500000000007</v>
      </c>
      <c r="S61">
        <f t="shared" si="2"/>
        <v>882.20971786077962</v>
      </c>
      <c r="T61">
        <f t="shared" si="3"/>
        <v>-5</v>
      </c>
    </row>
    <row r="62" spans="1:21" x14ac:dyDescent="0.2">
      <c r="A62" t="s">
        <v>34</v>
      </c>
      <c r="B62" t="s">
        <v>20</v>
      </c>
      <c r="C62">
        <v>2.6502370000000002</v>
      </c>
      <c r="D62">
        <v>4.5999999999999999E-2</v>
      </c>
      <c r="E62">
        <v>1.49</v>
      </c>
      <c r="F62">
        <v>3.12</v>
      </c>
      <c r="G62">
        <v>2370</v>
      </c>
      <c r="H62" t="s">
        <v>35</v>
      </c>
      <c r="I62">
        <v>7690</v>
      </c>
      <c r="J62">
        <v>1.92</v>
      </c>
      <c r="K62">
        <v>1.9</v>
      </c>
      <c r="L62">
        <v>0.09</v>
      </c>
      <c r="M62">
        <v>4.1500000000000004</v>
      </c>
      <c r="N62">
        <v>316.20369219999998</v>
      </c>
      <c r="O62">
        <v>55.588022100000003</v>
      </c>
      <c r="P62">
        <v>148.92500000000001</v>
      </c>
      <c r="Q62">
        <v>8.0299999999999994</v>
      </c>
      <c r="R62">
        <v>7.9756099999999996</v>
      </c>
      <c r="S62">
        <f t="shared" si="2"/>
        <v>431.57254486096394</v>
      </c>
      <c r="T62">
        <f t="shared" si="3"/>
        <v>-7</v>
      </c>
    </row>
    <row r="63" spans="1:21" x14ac:dyDescent="0.2">
      <c r="A63" t="s">
        <v>60</v>
      </c>
      <c r="B63" t="s">
        <v>20</v>
      </c>
      <c r="C63">
        <v>1.902603</v>
      </c>
      <c r="D63">
        <v>3.8899999999999997E-2</v>
      </c>
      <c r="E63">
        <v>1.875</v>
      </c>
      <c r="F63">
        <v>2.2999999999999998</v>
      </c>
      <c r="G63">
        <v>2492</v>
      </c>
      <c r="H63" t="s">
        <v>61</v>
      </c>
      <c r="I63">
        <v>7300</v>
      </c>
      <c r="J63">
        <v>1.95</v>
      </c>
      <c r="K63">
        <v>1.79</v>
      </c>
      <c r="L63">
        <v>-0.1</v>
      </c>
      <c r="M63">
        <v>4.0999999999999996</v>
      </c>
      <c r="N63">
        <v>352.26752069999998</v>
      </c>
      <c r="O63">
        <v>67.034806200000006</v>
      </c>
      <c r="P63">
        <v>225.88800000000001</v>
      </c>
      <c r="Q63">
        <v>8.952</v>
      </c>
      <c r="R63">
        <v>8.8952899999999993</v>
      </c>
      <c r="S63">
        <f t="shared" si="2"/>
        <v>974.78820571370204</v>
      </c>
      <c r="T63">
        <f t="shared" si="3"/>
        <v>-7</v>
      </c>
    </row>
    <row r="64" spans="1:21" x14ac:dyDescent="0.2">
      <c r="A64" t="s">
        <v>87</v>
      </c>
      <c r="B64" t="s">
        <v>20</v>
      </c>
      <c r="C64">
        <v>3.2086640000000002</v>
      </c>
      <c r="D64">
        <v>4.8820000000000002E-2</v>
      </c>
      <c r="E64">
        <v>1.44</v>
      </c>
      <c r="F64">
        <v>0.7</v>
      </c>
      <c r="G64">
        <v>1927</v>
      </c>
      <c r="H64" t="s">
        <v>56</v>
      </c>
      <c r="I64">
        <v>5991</v>
      </c>
      <c r="J64">
        <v>2.1680000000000001</v>
      </c>
      <c r="K64">
        <v>1.5069999999999999</v>
      </c>
      <c r="L64">
        <v>0.373</v>
      </c>
      <c r="M64">
        <v>3.9430000000000001</v>
      </c>
      <c r="N64">
        <v>142.74340599999999</v>
      </c>
      <c r="O64">
        <v>26.539995099999999</v>
      </c>
      <c r="P64">
        <v>229.06700000000001</v>
      </c>
      <c r="Q64">
        <v>9.7210000000000001</v>
      </c>
      <c r="R64">
        <v>9.5843900000000009</v>
      </c>
      <c r="S64">
        <f t="shared" si="2"/>
        <v>1460.8182255852041</v>
      </c>
      <c r="T64">
        <f t="shared" si="3"/>
        <v>-5</v>
      </c>
    </row>
    <row r="65" spans="1:20" x14ac:dyDescent="0.2">
      <c r="A65" t="s">
        <v>102</v>
      </c>
      <c r="B65" t="s">
        <v>20</v>
      </c>
      <c r="C65">
        <v>9.5739181000000002</v>
      </c>
      <c r="D65">
        <v>0.1</v>
      </c>
      <c r="E65">
        <v>1.10166148</v>
      </c>
      <c r="F65">
        <v>0.28128386</v>
      </c>
      <c r="G65">
        <v>1199.55</v>
      </c>
      <c r="I65">
        <v>6039</v>
      </c>
      <c r="J65">
        <v>2.032</v>
      </c>
      <c r="K65">
        <v>1.4642999999999999</v>
      </c>
      <c r="L65">
        <v>0.33200000000000002</v>
      </c>
      <c r="M65">
        <v>3.9860000000000002</v>
      </c>
      <c r="N65">
        <v>201.9626552</v>
      </c>
      <c r="O65">
        <v>9.0306437000000006</v>
      </c>
      <c r="P65">
        <v>223.465</v>
      </c>
      <c r="Q65">
        <v>9.8149999999999995</v>
      </c>
      <c r="R65">
        <v>9.6598100000000002</v>
      </c>
      <c r="S65">
        <f t="shared" si="2"/>
        <v>1324.5165539963698</v>
      </c>
      <c r="T65">
        <f t="shared" si="3"/>
        <v>-5</v>
      </c>
    </row>
    <row r="66" spans="1:20" x14ac:dyDescent="0.2">
      <c r="A66" t="s">
        <v>111</v>
      </c>
      <c r="B66" t="s">
        <v>20</v>
      </c>
      <c r="C66">
        <v>17.305904000000002</v>
      </c>
      <c r="D66">
        <v>0.16</v>
      </c>
      <c r="E66">
        <v>1.07</v>
      </c>
      <c r="F66">
        <v>6.4</v>
      </c>
      <c r="G66">
        <v>1221.3900000000001</v>
      </c>
      <c r="I66">
        <v>7130</v>
      </c>
      <c r="J66">
        <v>2.02</v>
      </c>
      <c r="K66">
        <v>1.59</v>
      </c>
      <c r="L66">
        <v>0</v>
      </c>
      <c r="M66">
        <v>3.9460000000000002</v>
      </c>
      <c r="N66">
        <v>164.031654</v>
      </c>
      <c r="O66">
        <v>-43.376696699999997</v>
      </c>
      <c r="P66">
        <v>328.47500000000002</v>
      </c>
      <c r="Q66">
        <v>9.8670000000000009</v>
      </c>
      <c r="R66">
        <v>9.7596699999999998</v>
      </c>
      <c r="S66">
        <f t="shared" si="2"/>
        <v>55.915145726222889</v>
      </c>
      <c r="T66">
        <f t="shared" si="3"/>
        <v>-7</v>
      </c>
    </row>
    <row r="67" spans="1:20" x14ac:dyDescent="0.2">
      <c r="A67" t="s">
        <v>64</v>
      </c>
      <c r="B67" t="s">
        <v>20</v>
      </c>
      <c r="C67">
        <v>10.261127</v>
      </c>
      <c r="D67">
        <v>0.111</v>
      </c>
      <c r="E67">
        <v>1.1079506100000001</v>
      </c>
      <c r="F67">
        <v>5.55960374</v>
      </c>
      <c r="G67">
        <v>1363.43</v>
      </c>
      <c r="I67">
        <v>6200</v>
      </c>
      <c r="J67">
        <v>2.7505000000000002</v>
      </c>
      <c r="K67">
        <v>1.7169000000000001</v>
      </c>
      <c r="L67">
        <v>0.28499999999999998</v>
      </c>
      <c r="M67">
        <v>3.7890000000000001</v>
      </c>
      <c r="N67">
        <v>263.75807529999997</v>
      </c>
      <c r="O67">
        <v>40.695042800000003</v>
      </c>
      <c r="P67">
        <v>224.73099999999999</v>
      </c>
      <c r="Q67">
        <v>9.07</v>
      </c>
      <c r="R67">
        <v>8.9365100000000002</v>
      </c>
      <c r="S67">
        <f t="shared" si="2"/>
        <v>77.040187113891676</v>
      </c>
      <c r="T67">
        <f t="shared" si="3"/>
        <v>-5</v>
      </c>
    </row>
    <row r="68" spans="1:20" x14ac:dyDescent="0.2">
      <c r="A68" t="s">
        <v>85</v>
      </c>
      <c r="B68" t="s">
        <v>20</v>
      </c>
      <c r="C68">
        <v>10.655669</v>
      </c>
      <c r="D68">
        <v>0.1166</v>
      </c>
      <c r="E68">
        <v>0.99399999999999999</v>
      </c>
      <c r="F68">
        <v>4.82</v>
      </c>
      <c r="G68">
        <v>1595</v>
      </c>
      <c r="I68">
        <v>7360</v>
      </c>
      <c r="J68">
        <v>2.36</v>
      </c>
      <c r="K68">
        <v>1.859</v>
      </c>
      <c r="L68">
        <v>9.4E-2</v>
      </c>
      <c r="M68">
        <v>3.9620000000000002</v>
      </c>
      <c r="N68">
        <v>90.062587800000003</v>
      </c>
      <c r="O68">
        <v>11.8840577</v>
      </c>
      <c r="P68">
        <v>285.28899999999999</v>
      </c>
      <c r="Q68">
        <v>9.5470000000000006</v>
      </c>
      <c r="R68">
        <v>9.4724400000000006</v>
      </c>
      <c r="S68">
        <f t="shared" si="2"/>
        <v>83.670803141549356</v>
      </c>
      <c r="T68">
        <f t="shared" si="3"/>
        <v>-7</v>
      </c>
    </row>
    <row r="69" spans="1:20" x14ac:dyDescent="0.2">
      <c r="A69" t="s">
        <v>22</v>
      </c>
      <c r="B69" t="s">
        <v>20</v>
      </c>
      <c r="C69">
        <v>18.388179999999998</v>
      </c>
      <c r="D69">
        <v>0.15279999999999999</v>
      </c>
      <c r="E69">
        <v>0.63900000000000001</v>
      </c>
      <c r="F69">
        <v>0.13800000000000001</v>
      </c>
      <c r="G69">
        <v>1027</v>
      </c>
      <c r="I69">
        <v>6095</v>
      </c>
      <c r="J69">
        <v>1.867</v>
      </c>
      <c r="K69">
        <v>1.407</v>
      </c>
      <c r="L69">
        <v>0.17499999999999999</v>
      </c>
      <c r="M69">
        <v>4.0439999999999996</v>
      </c>
      <c r="N69">
        <v>47.517260800000003</v>
      </c>
      <c r="O69">
        <v>-50.8322632</v>
      </c>
      <c r="P69">
        <v>76.902799999999999</v>
      </c>
      <c r="Q69">
        <v>7.57</v>
      </c>
      <c r="R69">
        <v>7.4165299999999998</v>
      </c>
      <c r="S69">
        <f t="shared" si="2"/>
        <v>777.64358420307099</v>
      </c>
      <c r="T69">
        <f t="shared" si="3"/>
        <v>-5</v>
      </c>
    </row>
    <row r="70" spans="1:20" x14ac:dyDescent="0.2">
      <c r="A70" t="s">
        <v>115</v>
      </c>
      <c r="B70" t="s">
        <v>20</v>
      </c>
      <c r="C70">
        <v>16.067540999999999</v>
      </c>
      <c r="D70">
        <v>0.11700000000000001</v>
      </c>
      <c r="E70">
        <v>0.45410017000000003</v>
      </c>
      <c r="F70">
        <v>4.4363560000000003E-2</v>
      </c>
      <c r="G70">
        <v>635</v>
      </c>
      <c r="H70" t="s">
        <v>116</v>
      </c>
      <c r="I70">
        <v>5291</v>
      </c>
      <c r="J70">
        <v>0.86599999999999999</v>
      </c>
      <c r="K70">
        <v>0.83299999999999996</v>
      </c>
      <c r="L70">
        <v>-4.3999999999999997E-2</v>
      </c>
      <c r="M70">
        <v>4.4800000000000004</v>
      </c>
      <c r="N70">
        <v>81.853282399999998</v>
      </c>
      <c r="O70">
        <v>-14.2767404</v>
      </c>
      <c r="P70">
        <v>74.796899999999994</v>
      </c>
      <c r="Q70">
        <v>9.9309999999999992</v>
      </c>
      <c r="R70">
        <v>9.7777600000000007</v>
      </c>
      <c r="S70">
        <f t="shared" si="2"/>
        <v>755.33252275944176</v>
      </c>
      <c r="T70">
        <f t="shared" si="3"/>
        <v>-5</v>
      </c>
    </row>
    <row r="71" spans="1:20" x14ac:dyDescent="0.2">
      <c r="A71" t="s">
        <v>121</v>
      </c>
      <c r="B71" t="s">
        <v>20</v>
      </c>
      <c r="C71">
        <v>9.9558099999999996</v>
      </c>
      <c r="D71">
        <v>9.9400000000000002E-2</v>
      </c>
      <c r="E71">
        <v>1.0580000000000001</v>
      </c>
      <c r="F71">
        <v>1.49</v>
      </c>
      <c r="G71">
        <v>1655</v>
      </c>
      <c r="I71">
        <v>4896</v>
      </c>
      <c r="J71">
        <v>3.55</v>
      </c>
      <c r="K71">
        <v>1.31</v>
      </c>
      <c r="L71">
        <v>0.23</v>
      </c>
      <c r="M71">
        <v>3.48</v>
      </c>
      <c r="N71">
        <v>184.97875790000001</v>
      </c>
      <c r="O71">
        <v>-25.827853099999999</v>
      </c>
      <c r="P71">
        <v>215.98599999999999</v>
      </c>
      <c r="Q71">
        <v>9.9730000000000008</v>
      </c>
      <c r="R71">
        <v>9.641</v>
      </c>
      <c r="S71">
        <f t="shared" si="2"/>
        <v>318.17832033985127</v>
      </c>
      <c r="T71">
        <f t="shared" si="3"/>
        <v>-5</v>
      </c>
    </row>
    <row r="72" spans="1:20" x14ac:dyDescent="0.2">
      <c r="A72" t="s">
        <v>68</v>
      </c>
      <c r="B72" t="s">
        <v>20</v>
      </c>
      <c r="C72">
        <v>7.2459899999999999</v>
      </c>
      <c r="D72">
        <v>8.8800000000000004E-2</v>
      </c>
      <c r="E72">
        <v>1.042</v>
      </c>
      <c r="F72">
        <v>12.89</v>
      </c>
      <c r="G72">
        <v>1677</v>
      </c>
      <c r="H72" t="s">
        <v>56</v>
      </c>
      <c r="I72">
        <v>6264</v>
      </c>
      <c r="J72">
        <v>2.738</v>
      </c>
      <c r="K72">
        <v>1.7649999999999999</v>
      </c>
      <c r="L72">
        <v>0.34200000000000003</v>
      </c>
      <c r="M72">
        <v>3.81</v>
      </c>
      <c r="N72">
        <v>83.865928800000006</v>
      </c>
      <c r="O72">
        <v>21.294241700000001</v>
      </c>
      <c r="P72">
        <v>225.643</v>
      </c>
      <c r="Q72">
        <v>9.24</v>
      </c>
      <c r="R72">
        <v>9.0746900000000004</v>
      </c>
      <c r="S72">
        <f t="shared" si="2"/>
        <v>36.149567272802649</v>
      </c>
      <c r="T72">
        <f t="shared" si="3"/>
        <v>-5</v>
      </c>
    </row>
    <row r="73" spans="1:20" x14ac:dyDescent="0.2">
      <c r="A73" t="s">
        <v>119</v>
      </c>
      <c r="B73" t="s">
        <v>20</v>
      </c>
      <c r="C73">
        <v>10.331110000000001</v>
      </c>
      <c r="D73">
        <v>9.7000000000000003E-2</v>
      </c>
      <c r="E73">
        <v>0.99</v>
      </c>
      <c r="F73">
        <v>1.53</v>
      </c>
      <c r="G73">
        <v>1370</v>
      </c>
      <c r="H73" t="s">
        <v>120</v>
      </c>
      <c r="I73">
        <v>5735</v>
      </c>
      <c r="J73">
        <v>1.66</v>
      </c>
      <c r="K73">
        <v>1.1399999999999999</v>
      </c>
      <c r="L73">
        <v>0.26</v>
      </c>
      <c r="M73">
        <v>4.0599999999999996</v>
      </c>
      <c r="N73">
        <v>110.5126861</v>
      </c>
      <c r="O73">
        <v>-57.384998000000003</v>
      </c>
      <c r="P73">
        <v>179.36600000000001</v>
      </c>
      <c r="Q73">
        <v>9.9719999999999995</v>
      </c>
      <c r="R73">
        <v>9.8465900000000008</v>
      </c>
      <c r="S73">
        <f t="shared" si="2"/>
        <v>224.58825733889913</v>
      </c>
      <c r="T73">
        <f t="shared" si="3"/>
        <v>-5</v>
      </c>
    </row>
    <row r="74" spans="1:20" x14ac:dyDescent="0.2">
      <c r="A74" t="s">
        <v>92</v>
      </c>
      <c r="B74" t="s">
        <v>20</v>
      </c>
      <c r="C74">
        <v>6.7535809999999996</v>
      </c>
      <c r="D74">
        <v>7.2999999999999995E-2</v>
      </c>
      <c r="E74">
        <v>0.58881357999999995</v>
      </c>
      <c r="F74">
        <v>0.10068326</v>
      </c>
      <c r="G74">
        <v>1180</v>
      </c>
      <c r="I74">
        <v>5808</v>
      </c>
      <c r="J74">
        <v>1.29</v>
      </c>
      <c r="K74">
        <v>1.1000000000000001</v>
      </c>
      <c r="L74">
        <v>0.2</v>
      </c>
      <c r="M74">
        <v>4.26</v>
      </c>
      <c r="N74">
        <v>166.26950410000001</v>
      </c>
      <c r="O74">
        <v>11.2464069</v>
      </c>
      <c r="P74">
        <v>130.91900000000001</v>
      </c>
      <c r="Q74">
        <v>9.75</v>
      </c>
      <c r="R74">
        <v>9.6080000000000005</v>
      </c>
      <c r="S74">
        <f t="shared" si="2"/>
        <v>1039.84328949877</v>
      </c>
      <c r="T74">
        <f t="shared" si="3"/>
        <v>-5</v>
      </c>
    </row>
    <row r="75" spans="1:20" x14ac:dyDescent="0.2">
      <c r="A75" t="s">
        <v>129</v>
      </c>
      <c r="B75" t="s">
        <v>20</v>
      </c>
      <c r="C75">
        <v>10.590547000000001</v>
      </c>
      <c r="D75">
        <v>9.8000000000000004E-2</v>
      </c>
      <c r="E75">
        <v>0.91890603000000004</v>
      </c>
      <c r="F75">
        <v>0.18469084999999999</v>
      </c>
      <c r="G75">
        <v>947</v>
      </c>
      <c r="H75" t="s">
        <v>130</v>
      </c>
      <c r="I75">
        <v>6000</v>
      </c>
      <c r="J75">
        <v>1.0509999999999999</v>
      </c>
      <c r="K75">
        <v>1.1459999999999999</v>
      </c>
      <c r="L75">
        <v>0.09</v>
      </c>
      <c r="M75">
        <v>4.4400000000000004</v>
      </c>
      <c r="N75">
        <v>161.87955690000001</v>
      </c>
      <c r="O75">
        <v>36.329434499999998</v>
      </c>
      <c r="P75">
        <v>130.85499999999999</v>
      </c>
      <c r="Q75">
        <v>10.058999999999999</v>
      </c>
      <c r="R75">
        <v>9.9823299999999993</v>
      </c>
      <c r="S75">
        <f t="shared" si="2"/>
        <v>1107.9861243219782</v>
      </c>
      <c r="T75">
        <f t="shared" si="3"/>
        <v>-5</v>
      </c>
    </row>
    <row r="76" spans="1:20" x14ac:dyDescent="0.2">
      <c r="A76" t="s">
        <v>114</v>
      </c>
      <c r="B76" t="s">
        <v>20</v>
      </c>
      <c r="C76">
        <v>5.8267310999999999</v>
      </c>
      <c r="D76">
        <v>6.9000000000000006E-2</v>
      </c>
      <c r="E76">
        <v>0.57186287999999996</v>
      </c>
      <c r="F76">
        <v>0.24698861999999999</v>
      </c>
      <c r="G76">
        <v>1439</v>
      </c>
      <c r="I76">
        <v>6110</v>
      </c>
      <c r="J76">
        <v>1.6479999999999999</v>
      </c>
      <c r="K76">
        <v>1.2909999999999999</v>
      </c>
      <c r="L76">
        <v>0.124</v>
      </c>
      <c r="M76">
        <v>4.1180000000000003</v>
      </c>
      <c r="N76">
        <v>51.657269100000001</v>
      </c>
      <c r="O76">
        <v>40.817270399999998</v>
      </c>
      <c r="P76">
        <v>179.14699999999999</v>
      </c>
      <c r="Q76">
        <v>9.9130000000000003</v>
      </c>
      <c r="R76">
        <v>9.7295700000000007</v>
      </c>
      <c r="S76">
        <f t="shared" si="2"/>
        <v>487.59044264912109</v>
      </c>
      <c r="T76">
        <f t="shared" si="3"/>
        <v>-5</v>
      </c>
    </row>
    <row r="77" spans="1:20" x14ac:dyDescent="0.2">
      <c r="A77" t="s">
        <v>62</v>
      </c>
      <c r="B77" t="s">
        <v>20</v>
      </c>
      <c r="C77">
        <v>6.4025129999999999</v>
      </c>
      <c r="D77">
        <v>7.0800000000000002E-2</v>
      </c>
      <c r="E77">
        <v>0.82399999999999995</v>
      </c>
      <c r="F77">
        <v>0.30299999999999999</v>
      </c>
      <c r="G77">
        <v>1388</v>
      </c>
      <c r="H77" t="s">
        <v>63</v>
      </c>
      <c r="I77">
        <v>6400</v>
      </c>
      <c r="J77">
        <v>1.415</v>
      </c>
      <c r="K77">
        <v>1.3129999999999999</v>
      </c>
      <c r="L77">
        <v>0.09</v>
      </c>
      <c r="M77">
        <v>4.2</v>
      </c>
      <c r="N77">
        <v>125.3050544</v>
      </c>
      <c r="O77">
        <v>-46.484295899999999</v>
      </c>
      <c r="P77">
        <v>123.297</v>
      </c>
      <c r="Q77">
        <v>8.9949999999999992</v>
      </c>
      <c r="R77">
        <v>8.8910300000000007</v>
      </c>
      <c r="S77">
        <f t="shared" si="2"/>
        <v>795.95548671567838</v>
      </c>
      <c r="T77">
        <f t="shared" si="3"/>
        <v>-5</v>
      </c>
    </row>
    <row r="78" spans="1:20" x14ac:dyDescent="0.2">
      <c r="A78" t="s">
        <v>105</v>
      </c>
      <c r="B78" t="s">
        <v>20</v>
      </c>
      <c r="C78">
        <v>11.236598499999999</v>
      </c>
      <c r="D78">
        <v>0.1041</v>
      </c>
      <c r="E78">
        <v>1.17</v>
      </c>
      <c r="F78">
        <v>1.234</v>
      </c>
      <c r="G78">
        <v>1252</v>
      </c>
      <c r="H78" t="s">
        <v>54</v>
      </c>
      <c r="I78">
        <v>6295</v>
      </c>
      <c r="J78">
        <v>1.28</v>
      </c>
      <c r="K78">
        <v>1.181</v>
      </c>
      <c r="L78">
        <v>0</v>
      </c>
      <c r="M78">
        <v>4.2910000000000004</v>
      </c>
      <c r="N78">
        <v>144.11935940000001</v>
      </c>
      <c r="O78">
        <v>-50.463093299999997</v>
      </c>
      <c r="P78">
        <v>141.81200000000001</v>
      </c>
      <c r="Q78">
        <v>9.8219999999999992</v>
      </c>
      <c r="R78">
        <v>9.6608199999999993</v>
      </c>
      <c r="S78">
        <f t="shared" si="2"/>
        <v>355.42536038318485</v>
      </c>
      <c r="T78">
        <f t="shared" si="3"/>
        <v>-5</v>
      </c>
    </row>
    <row r="79" spans="1:20" x14ac:dyDescent="0.2">
      <c r="A79" t="s">
        <v>65</v>
      </c>
      <c r="B79" t="s">
        <v>20</v>
      </c>
      <c r="C79">
        <v>4.6336110000000001</v>
      </c>
      <c r="D79">
        <v>0.06</v>
      </c>
      <c r="E79">
        <v>1.37</v>
      </c>
      <c r="F79">
        <v>2.8</v>
      </c>
      <c r="G79">
        <v>1561</v>
      </c>
      <c r="H79" t="s">
        <v>66</v>
      </c>
      <c r="I79">
        <v>6643</v>
      </c>
      <c r="J79">
        <v>1.71</v>
      </c>
      <c r="K79">
        <v>1.4</v>
      </c>
      <c r="L79">
        <v>0</v>
      </c>
      <c r="M79">
        <v>4.05</v>
      </c>
      <c r="N79">
        <v>199.33385029999999</v>
      </c>
      <c r="O79">
        <v>-15.2737046</v>
      </c>
      <c r="P79">
        <v>161.74299999999999</v>
      </c>
      <c r="Q79">
        <v>9.109</v>
      </c>
      <c r="R79">
        <v>8.9943600000000004</v>
      </c>
      <c r="S79">
        <f t="shared" si="2"/>
        <v>267.77715667890726</v>
      </c>
      <c r="T79">
        <f t="shared" si="3"/>
        <v>-5</v>
      </c>
    </row>
    <row r="80" spans="1:20" x14ac:dyDescent="0.2">
      <c r="A80" t="s">
        <v>142</v>
      </c>
      <c r="I80">
        <v>6161.02294921875</v>
      </c>
      <c r="J80">
        <v>1.7061723470687871</v>
      </c>
      <c r="K80">
        <v>1.3463604</v>
      </c>
      <c r="M80">
        <v>3.9825000762939449</v>
      </c>
      <c r="N80">
        <v>268.30433503422898</v>
      </c>
      <c r="O80">
        <v>37.211736733677057</v>
      </c>
      <c r="P80">
        <v>496.26729999999998</v>
      </c>
      <c r="Q80">
        <v>11.469913482666019</v>
      </c>
      <c r="R80">
        <v>11.469913482666019</v>
      </c>
    </row>
    <row r="81" spans="1:21" x14ac:dyDescent="0.2">
      <c r="A81" t="s">
        <v>138</v>
      </c>
      <c r="B81" t="s">
        <v>20</v>
      </c>
      <c r="I81">
        <v>6200</v>
      </c>
      <c r="J81">
        <v>1.2</v>
      </c>
      <c r="N81">
        <v>97.636728000000005</v>
      </c>
      <c r="O81">
        <v>29.672419000000001</v>
      </c>
      <c r="P81">
        <v>427</v>
      </c>
      <c r="R81">
        <v>11.4986</v>
      </c>
      <c r="T81">
        <f t="shared" ref="T81:T101" si="4">IF(I81&gt;6800,-7,-5)</f>
        <v>-5</v>
      </c>
    </row>
    <row r="82" spans="1:21" x14ac:dyDescent="0.2">
      <c r="A82" t="s">
        <v>131</v>
      </c>
      <c r="B82" t="s">
        <v>20</v>
      </c>
      <c r="C82">
        <v>5.3220124999999996</v>
      </c>
      <c r="D82">
        <v>6.08E-2</v>
      </c>
      <c r="E82">
        <v>1.226</v>
      </c>
      <c r="F82">
        <v>0.27300000000000002</v>
      </c>
      <c r="G82">
        <v>1460</v>
      </c>
      <c r="H82" t="s">
        <v>43</v>
      </c>
      <c r="I82">
        <v>5990</v>
      </c>
      <c r="J82">
        <v>1.5609999999999999</v>
      </c>
      <c r="K82">
        <v>1.06</v>
      </c>
      <c r="L82">
        <v>-0.2</v>
      </c>
      <c r="M82">
        <v>4.0750000000000002</v>
      </c>
      <c r="N82">
        <v>210.1935714</v>
      </c>
      <c r="O82">
        <v>-30.583608399999999</v>
      </c>
      <c r="P82">
        <v>200.07499999999999</v>
      </c>
      <c r="Q82">
        <v>10.068</v>
      </c>
      <c r="R82">
        <v>9.8670799999999996</v>
      </c>
      <c r="S82">
        <f t="shared" ref="S82:S101" si="5">(0.000000000000000138*G82/(1.673534E-24*1.3*0.000000066726*F82*1.8986E+30/(E82*7149200000)^2))/100000</f>
        <v>2057.1154637812851</v>
      </c>
      <c r="T82">
        <f t="shared" si="4"/>
        <v>-5</v>
      </c>
    </row>
    <row r="83" spans="1:21" x14ac:dyDescent="0.2">
      <c r="A83" t="s">
        <v>122</v>
      </c>
      <c r="B83" t="s">
        <v>20</v>
      </c>
      <c r="C83">
        <v>5.21536178778</v>
      </c>
      <c r="D83">
        <v>6.6100000000000006E-2</v>
      </c>
      <c r="E83">
        <v>1.5</v>
      </c>
      <c r="F83">
        <v>1.51</v>
      </c>
      <c r="G83">
        <v>1630</v>
      </c>
      <c r="H83" t="s">
        <v>56</v>
      </c>
      <c r="I83">
        <v>6250</v>
      </c>
      <c r="J83">
        <v>2.3901400000000002</v>
      </c>
      <c r="K83">
        <v>1.41</v>
      </c>
      <c r="L83">
        <v>-0.18</v>
      </c>
      <c r="M83">
        <v>3.9</v>
      </c>
      <c r="N83">
        <v>0.32576100000000002</v>
      </c>
      <c r="O83">
        <v>-8.9262511999999994</v>
      </c>
      <c r="P83">
        <v>275.58699999999999</v>
      </c>
      <c r="Q83">
        <v>9.9740000000000002</v>
      </c>
      <c r="R83">
        <v>9.8192900000000005</v>
      </c>
      <c r="S83">
        <f t="shared" si="5"/>
        <v>621.55661806820979</v>
      </c>
      <c r="T83">
        <f t="shared" si="4"/>
        <v>-5</v>
      </c>
    </row>
    <row r="84" spans="1:21" x14ac:dyDescent="0.2">
      <c r="A84" t="s">
        <v>89</v>
      </c>
      <c r="B84" t="s">
        <v>20</v>
      </c>
      <c r="C84">
        <v>2.2437499999999999</v>
      </c>
      <c r="D84">
        <v>3.6999999999999998E-2</v>
      </c>
      <c r="E84">
        <v>1.38</v>
      </c>
      <c r="F84">
        <v>8.84</v>
      </c>
      <c r="G84">
        <v>1872</v>
      </c>
      <c r="I84">
        <v>6475</v>
      </c>
      <c r="J84">
        <v>1.4</v>
      </c>
      <c r="K84">
        <v>1.62</v>
      </c>
      <c r="L84">
        <v>0</v>
      </c>
      <c r="M84">
        <v>4.07</v>
      </c>
      <c r="N84">
        <v>218.27662470000001</v>
      </c>
      <c r="O84">
        <v>21.8946875</v>
      </c>
      <c r="P84">
        <v>161.99700000000001</v>
      </c>
      <c r="Q84">
        <v>9.7449999999999992</v>
      </c>
      <c r="R84">
        <v>9.6464700000000008</v>
      </c>
      <c r="S84">
        <f t="shared" si="5"/>
        <v>103.20465157174387</v>
      </c>
      <c r="T84">
        <f t="shared" si="4"/>
        <v>-5</v>
      </c>
    </row>
    <row r="85" spans="1:21" x14ac:dyDescent="0.2">
      <c r="A85" t="s">
        <v>73</v>
      </c>
      <c r="B85" t="s">
        <v>20</v>
      </c>
      <c r="C85">
        <v>5.4435399999999996</v>
      </c>
      <c r="D85">
        <v>6.4100000000000004E-2</v>
      </c>
      <c r="E85">
        <v>0.63</v>
      </c>
      <c r="F85">
        <v>0.10100000000000001</v>
      </c>
      <c r="G85">
        <v>1270</v>
      </c>
      <c r="H85" t="s">
        <v>74</v>
      </c>
      <c r="I85">
        <v>6050</v>
      </c>
      <c r="J85">
        <v>1.22</v>
      </c>
      <c r="K85">
        <v>1.19</v>
      </c>
      <c r="L85">
        <v>0.19</v>
      </c>
      <c r="M85">
        <v>4.34</v>
      </c>
      <c r="N85">
        <v>144.87510470000001</v>
      </c>
      <c r="O85">
        <v>-20.982419100000001</v>
      </c>
      <c r="P85">
        <v>114.173</v>
      </c>
      <c r="Q85">
        <v>9.3510000000000009</v>
      </c>
      <c r="R85">
        <v>9.2569999999999997</v>
      </c>
      <c r="S85">
        <f t="shared" si="5"/>
        <v>1277.1766379712274</v>
      </c>
      <c r="T85">
        <f t="shared" si="4"/>
        <v>-5</v>
      </c>
    </row>
    <row r="86" spans="1:21" x14ac:dyDescent="0.2">
      <c r="A86" t="s">
        <v>117</v>
      </c>
      <c r="B86" t="s">
        <v>20</v>
      </c>
      <c r="C86">
        <v>3.3448285000000002</v>
      </c>
      <c r="D86">
        <v>5.5800000000000002E-2</v>
      </c>
      <c r="E86">
        <v>1.81</v>
      </c>
      <c r="F86">
        <v>1.66</v>
      </c>
      <c r="G86">
        <v>2470</v>
      </c>
      <c r="H86" t="s">
        <v>118</v>
      </c>
      <c r="I86">
        <v>9360</v>
      </c>
      <c r="J86">
        <v>1.67</v>
      </c>
      <c r="K86">
        <v>2.0699999999999998</v>
      </c>
      <c r="L86">
        <v>0.21</v>
      </c>
      <c r="M86">
        <v>4.3099999999999996</v>
      </c>
      <c r="N86">
        <v>227.270329</v>
      </c>
      <c r="O86">
        <v>-42.704965799999997</v>
      </c>
      <c r="P86">
        <v>427.678</v>
      </c>
      <c r="Q86">
        <v>9.9459999999999997</v>
      </c>
      <c r="R86">
        <v>9.9122599999999998</v>
      </c>
      <c r="S86">
        <f t="shared" si="5"/>
        <v>1247.4798366438731</v>
      </c>
      <c r="T86">
        <f t="shared" si="4"/>
        <v>-7</v>
      </c>
    </row>
    <row r="87" spans="1:21" x14ac:dyDescent="0.2">
      <c r="A87" t="s">
        <v>71</v>
      </c>
      <c r="B87" t="s">
        <v>20</v>
      </c>
      <c r="C87">
        <v>0.94145223</v>
      </c>
      <c r="D87">
        <v>2.0240000000000001E-2</v>
      </c>
      <c r="E87">
        <v>1.24</v>
      </c>
      <c r="F87">
        <v>10.199999999999999</v>
      </c>
      <c r="G87">
        <v>2429</v>
      </c>
      <c r="H87" t="s">
        <v>72</v>
      </c>
      <c r="I87">
        <v>6432</v>
      </c>
      <c r="J87">
        <v>1.319</v>
      </c>
      <c r="K87">
        <v>1.294</v>
      </c>
      <c r="L87">
        <v>0.107</v>
      </c>
      <c r="M87">
        <v>4.3099999999999996</v>
      </c>
      <c r="N87">
        <v>24.354461799999999</v>
      </c>
      <c r="O87">
        <v>-45.677793700000002</v>
      </c>
      <c r="P87">
        <v>123.483</v>
      </c>
      <c r="Q87">
        <v>9.2799999999999994</v>
      </c>
      <c r="R87">
        <v>9.1661699999999993</v>
      </c>
      <c r="S87">
        <f t="shared" si="5"/>
        <v>93.704022194109143</v>
      </c>
      <c r="T87">
        <f t="shared" si="4"/>
        <v>-5</v>
      </c>
    </row>
    <row r="88" spans="1:21" x14ac:dyDescent="0.2">
      <c r="A88" t="s">
        <v>19</v>
      </c>
      <c r="B88" t="s">
        <v>20</v>
      </c>
      <c r="C88">
        <v>2.7240329999999999</v>
      </c>
      <c r="D88">
        <v>5.0529999999999999E-2</v>
      </c>
      <c r="E88">
        <v>1.619</v>
      </c>
      <c r="F88">
        <v>1.99</v>
      </c>
      <c r="G88">
        <v>3353</v>
      </c>
      <c r="I88">
        <v>8000</v>
      </c>
      <c r="J88">
        <v>2.36</v>
      </c>
      <c r="K88">
        <v>2.0299999999999998</v>
      </c>
      <c r="L88">
        <v>0.28999999999999998</v>
      </c>
      <c r="M88">
        <v>3.9</v>
      </c>
      <c r="N88">
        <v>225.68673200000001</v>
      </c>
      <c r="O88">
        <v>-3.0314874000000001</v>
      </c>
      <c r="P88">
        <v>99.730999999999995</v>
      </c>
      <c r="Q88">
        <v>6.5977600000000001</v>
      </c>
      <c r="R88">
        <v>6.5536899999999996</v>
      </c>
      <c r="S88" s="6">
        <f t="shared" si="5"/>
        <v>1130.2166328238993</v>
      </c>
      <c r="T88">
        <f t="shared" si="4"/>
        <v>-7</v>
      </c>
      <c r="U88" s="1" t="s">
        <v>137</v>
      </c>
    </row>
    <row r="89" spans="1:21" x14ac:dyDescent="0.2">
      <c r="A89" t="s">
        <v>40</v>
      </c>
      <c r="B89" t="s">
        <v>20</v>
      </c>
      <c r="C89">
        <v>1.21987</v>
      </c>
      <c r="D89">
        <v>2.3900000000000001E-2</v>
      </c>
      <c r="E89">
        <v>1.593</v>
      </c>
      <c r="F89">
        <v>2.093</v>
      </c>
      <c r="G89">
        <v>2781.7</v>
      </c>
      <c r="H89" t="s">
        <v>41</v>
      </c>
      <c r="I89">
        <v>7430</v>
      </c>
      <c r="J89">
        <v>1.444</v>
      </c>
      <c r="K89">
        <v>1.4950000000000001</v>
      </c>
      <c r="L89">
        <v>0.1</v>
      </c>
      <c r="M89">
        <v>4.25</v>
      </c>
      <c r="N89">
        <v>36.712737500000003</v>
      </c>
      <c r="O89">
        <v>37.5504441</v>
      </c>
      <c r="P89">
        <v>121.944</v>
      </c>
      <c r="Q89">
        <v>8.14</v>
      </c>
      <c r="R89">
        <v>8.0700400000000005</v>
      </c>
      <c r="S89">
        <f t="shared" si="5"/>
        <v>863.09804630713359</v>
      </c>
      <c r="T89">
        <f t="shared" si="4"/>
        <v>-7</v>
      </c>
    </row>
    <row r="90" spans="1:21" x14ac:dyDescent="0.2">
      <c r="A90" t="s">
        <v>76</v>
      </c>
      <c r="B90" t="s">
        <v>20</v>
      </c>
      <c r="C90">
        <v>6.87188</v>
      </c>
      <c r="D90">
        <v>7.5219999999999995E-2</v>
      </c>
      <c r="E90">
        <v>1.23</v>
      </c>
      <c r="F90">
        <v>3.44</v>
      </c>
      <c r="G90">
        <v>1250</v>
      </c>
      <c r="H90" t="s">
        <v>70</v>
      </c>
      <c r="I90">
        <v>6180</v>
      </c>
      <c r="J90">
        <v>1.52</v>
      </c>
      <c r="K90">
        <v>1.76</v>
      </c>
      <c r="L90">
        <v>-0.02</v>
      </c>
      <c r="M90">
        <v>4.25</v>
      </c>
      <c r="N90">
        <v>243.95971940000001</v>
      </c>
      <c r="O90">
        <v>10.0324103</v>
      </c>
      <c r="P90">
        <v>136.24</v>
      </c>
      <c r="Q90">
        <v>9.391</v>
      </c>
      <c r="R90">
        <v>9.20974</v>
      </c>
      <c r="S90">
        <f t="shared" si="5"/>
        <v>140.68549179703928</v>
      </c>
      <c r="T90">
        <f t="shared" si="4"/>
        <v>-5</v>
      </c>
    </row>
    <row r="91" spans="1:21" x14ac:dyDescent="0.2">
      <c r="A91" t="s">
        <v>112</v>
      </c>
      <c r="B91" t="s">
        <v>20</v>
      </c>
      <c r="C91">
        <v>3.86813881</v>
      </c>
      <c r="D91">
        <v>4.53E-2</v>
      </c>
      <c r="E91">
        <v>1</v>
      </c>
      <c r="F91">
        <v>0.26</v>
      </c>
      <c r="G91">
        <v>971</v>
      </c>
      <c r="H91" t="s">
        <v>113</v>
      </c>
      <c r="I91">
        <v>4792</v>
      </c>
      <c r="J91">
        <v>0.80100000000000005</v>
      </c>
      <c r="K91">
        <v>0.83</v>
      </c>
      <c r="L91">
        <v>0.35</v>
      </c>
      <c r="M91">
        <v>4.57</v>
      </c>
      <c r="N91">
        <v>315.02596610000001</v>
      </c>
      <c r="O91">
        <v>-5.0948570000000002</v>
      </c>
      <c r="P91">
        <v>49.960500000000003</v>
      </c>
      <c r="Q91">
        <v>9.8729999999999993</v>
      </c>
      <c r="R91">
        <v>9.4846599999999999</v>
      </c>
      <c r="S91">
        <f t="shared" si="5"/>
        <v>955.72600175951948</v>
      </c>
      <c r="T91">
        <f t="shared" si="4"/>
        <v>-5</v>
      </c>
      <c r="U91" s="1" t="s">
        <v>137</v>
      </c>
    </row>
    <row r="92" spans="1:21" x14ac:dyDescent="0.2">
      <c r="A92" t="s">
        <v>81</v>
      </c>
      <c r="B92" t="s">
        <v>20</v>
      </c>
      <c r="C92">
        <v>4.9546416000000004</v>
      </c>
      <c r="D92">
        <v>6.1699999999999998E-2</v>
      </c>
      <c r="E92">
        <v>1.33</v>
      </c>
      <c r="F92">
        <v>0.96</v>
      </c>
      <c r="G92">
        <v>1487</v>
      </c>
      <c r="I92">
        <v>6400</v>
      </c>
      <c r="J92">
        <v>1.4319999999999999</v>
      </c>
      <c r="K92">
        <v>1.276</v>
      </c>
      <c r="L92">
        <v>0</v>
      </c>
      <c r="M92">
        <v>4.2320000000000002</v>
      </c>
      <c r="N92">
        <v>311.04275580000001</v>
      </c>
      <c r="O92">
        <v>-39.225485599999999</v>
      </c>
      <c r="P92">
        <v>162.303</v>
      </c>
      <c r="Q92">
        <v>9.5039999999999996</v>
      </c>
      <c r="R92">
        <v>9.3767099999999992</v>
      </c>
      <c r="S92">
        <f t="shared" si="5"/>
        <v>701.18164217622461</v>
      </c>
      <c r="T92">
        <f t="shared" si="4"/>
        <v>-5</v>
      </c>
    </row>
    <row r="93" spans="1:21" x14ac:dyDescent="0.2">
      <c r="A93" t="s">
        <v>90</v>
      </c>
      <c r="B93" t="s">
        <v>20</v>
      </c>
      <c r="C93">
        <v>2.13775</v>
      </c>
      <c r="D93">
        <v>3.4430000000000002E-2</v>
      </c>
      <c r="E93">
        <v>1.36</v>
      </c>
      <c r="F93">
        <v>0.72</v>
      </c>
      <c r="G93">
        <v>1865</v>
      </c>
      <c r="H93" t="s">
        <v>91</v>
      </c>
      <c r="I93">
        <v>5990</v>
      </c>
      <c r="J93">
        <v>1.42</v>
      </c>
      <c r="K93">
        <v>0.98</v>
      </c>
      <c r="L93">
        <v>0.39</v>
      </c>
      <c r="M93">
        <v>4.3899999999999997</v>
      </c>
      <c r="N93">
        <v>304.53884299999999</v>
      </c>
      <c r="O93">
        <v>-1.0760033</v>
      </c>
      <c r="P93">
        <v>149.21600000000001</v>
      </c>
      <c r="Q93">
        <v>9.75</v>
      </c>
      <c r="R93">
        <v>9.5723000000000003</v>
      </c>
      <c r="S93">
        <f t="shared" si="5"/>
        <v>1226.0598654781754</v>
      </c>
      <c r="T93">
        <f t="shared" si="4"/>
        <v>-5</v>
      </c>
    </row>
    <row r="94" spans="1:21" x14ac:dyDescent="0.2">
      <c r="A94" t="s">
        <v>82</v>
      </c>
      <c r="B94" t="s">
        <v>20</v>
      </c>
      <c r="C94">
        <v>1.8098819799999999</v>
      </c>
      <c r="D94">
        <v>3.3000000000000002E-2</v>
      </c>
      <c r="E94">
        <v>1.8540000000000001</v>
      </c>
      <c r="F94">
        <v>0.89400000000000002</v>
      </c>
      <c r="G94">
        <v>2228</v>
      </c>
      <c r="H94" t="s">
        <v>52</v>
      </c>
      <c r="I94">
        <v>6329</v>
      </c>
      <c r="J94">
        <v>1.756</v>
      </c>
      <c r="K94">
        <v>1.458</v>
      </c>
      <c r="L94">
        <v>0.36599999999999999</v>
      </c>
      <c r="M94">
        <v>4.1959999999999997</v>
      </c>
      <c r="N94">
        <v>26.632936000000001</v>
      </c>
      <c r="O94">
        <v>2.7003889999999999</v>
      </c>
      <c r="P94">
        <v>194.459</v>
      </c>
      <c r="Q94">
        <v>9.5180000000000007</v>
      </c>
      <c r="R94">
        <v>9.3950700000000005</v>
      </c>
      <c r="S94">
        <f t="shared" si="5"/>
        <v>2192.2225820487197</v>
      </c>
      <c r="T94">
        <f t="shared" si="4"/>
        <v>-5</v>
      </c>
    </row>
    <row r="95" spans="1:21" x14ac:dyDescent="0.2">
      <c r="A95" t="s">
        <v>126</v>
      </c>
      <c r="B95" t="s">
        <v>20</v>
      </c>
      <c r="C95">
        <v>3.6623920000000001</v>
      </c>
      <c r="D95">
        <v>5.1900000000000002E-2</v>
      </c>
      <c r="E95">
        <v>1.53</v>
      </c>
      <c r="F95">
        <v>0.85</v>
      </c>
      <c r="G95">
        <v>1716.2</v>
      </c>
      <c r="H95" t="s">
        <v>127</v>
      </c>
      <c r="I95">
        <v>6600</v>
      </c>
      <c r="J95">
        <v>1.51</v>
      </c>
      <c r="K95">
        <v>1.39</v>
      </c>
      <c r="L95">
        <v>0.03</v>
      </c>
      <c r="M95">
        <v>4.2</v>
      </c>
      <c r="N95">
        <v>66.370901599999996</v>
      </c>
      <c r="O95">
        <v>-30.600436200000001</v>
      </c>
      <c r="P95">
        <v>246.69</v>
      </c>
      <c r="Q95">
        <v>10.044</v>
      </c>
      <c r="R95">
        <v>9.9720200000000006</v>
      </c>
      <c r="S95">
        <f t="shared" si="5"/>
        <v>1209.5375438309629</v>
      </c>
      <c r="T95">
        <f t="shared" si="4"/>
        <v>-5</v>
      </c>
    </row>
    <row r="96" spans="1:21" x14ac:dyDescent="0.2">
      <c r="A96" t="s">
        <v>96</v>
      </c>
      <c r="B96" t="s">
        <v>20</v>
      </c>
      <c r="C96">
        <v>8.1587200000000006</v>
      </c>
      <c r="D96">
        <v>8.0100000000000005E-2</v>
      </c>
      <c r="E96">
        <v>1.1299999999999999</v>
      </c>
      <c r="F96">
        <v>2.54</v>
      </c>
      <c r="G96">
        <v>1059</v>
      </c>
      <c r="H96" t="s">
        <v>97</v>
      </c>
      <c r="I96">
        <v>5600</v>
      </c>
      <c r="J96">
        <v>1.03</v>
      </c>
      <c r="K96">
        <v>1.34</v>
      </c>
      <c r="L96">
        <v>0.17</v>
      </c>
      <c r="M96">
        <v>4.5</v>
      </c>
      <c r="N96">
        <v>359.90087369999998</v>
      </c>
      <c r="O96">
        <v>-35.031334899999997</v>
      </c>
      <c r="P96">
        <v>89.960599999999999</v>
      </c>
      <c r="Q96">
        <v>9.7889999999999997</v>
      </c>
      <c r="R96">
        <v>9.6124899999999993</v>
      </c>
      <c r="S96">
        <f t="shared" si="5"/>
        <v>136.24063220140397</v>
      </c>
      <c r="T96">
        <f t="shared" si="4"/>
        <v>-5</v>
      </c>
    </row>
    <row r="97" spans="1:20" x14ac:dyDescent="0.2">
      <c r="A97" t="s">
        <v>132</v>
      </c>
      <c r="B97" t="s">
        <v>20</v>
      </c>
      <c r="C97">
        <v>2.7057899999999999</v>
      </c>
      <c r="D97">
        <v>4.4699999999999997E-2</v>
      </c>
      <c r="E97">
        <v>1.62</v>
      </c>
      <c r="F97">
        <v>1.17</v>
      </c>
      <c r="G97">
        <v>2190</v>
      </c>
      <c r="H97" t="s">
        <v>127</v>
      </c>
      <c r="I97">
        <v>6480</v>
      </c>
      <c r="J97">
        <v>2.1</v>
      </c>
      <c r="K97">
        <v>1.48</v>
      </c>
      <c r="L97">
        <v>0.12</v>
      </c>
      <c r="M97">
        <v>3.96</v>
      </c>
      <c r="N97">
        <v>72.660591600000004</v>
      </c>
      <c r="O97">
        <v>1.8938364999999999</v>
      </c>
      <c r="P97">
        <v>275.66399999999999</v>
      </c>
      <c r="Q97">
        <v>10.073</v>
      </c>
      <c r="R97">
        <v>9.8979599999999994</v>
      </c>
      <c r="S97">
        <f t="shared" si="5"/>
        <v>1257.117296864338</v>
      </c>
      <c r="T97">
        <f t="shared" si="4"/>
        <v>-5</v>
      </c>
    </row>
    <row r="98" spans="1:20" x14ac:dyDescent="0.2">
      <c r="A98" t="s">
        <v>128</v>
      </c>
      <c r="B98" t="s">
        <v>20</v>
      </c>
      <c r="C98">
        <v>3.9501900000000001</v>
      </c>
      <c r="D98">
        <v>5.5E-2</v>
      </c>
      <c r="E98">
        <v>1.58</v>
      </c>
      <c r="F98">
        <v>0.5</v>
      </c>
      <c r="G98">
        <v>1604</v>
      </c>
      <c r="H98" t="s">
        <v>54</v>
      </c>
      <c r="I98">
        <v>6170</v>
      </c>
      <c r="J98">
        <v>1.48</v>
      </c>
      <c r="K98">
        <v>1.67</v>
      </c>
      <c r="L98">
        <v>0.26</v>
      </c>
      <c r="M98">
        <v>4.2699999999999996</v>
      </c>
      <c r="N98">
        <v>313.78323929999999</v>
      </c>
      <c r="O98">
        <v>-34.135751200000001</v>
      </c>
      <c r="P98">
        <v>211.21100000000001</v>
      </c>
      <c r="Q98">
        <v>10.051</v>
      </c>
      <c r="R98">
        <v>10.028499999999999</v>
      </c>
      <c r="S98">
        <f t="shared" si="5"/>
        <v>2049.4439875099679</v>
      </c>
      <c r="T98">
        <f t="shared" si="4"/>
        <v>-5</v>
      </c>
    </row>
    <row r="99" spans="1:20" x14ac:dyDescent="0.2">
      <c r="A99" t="s">
        <v>133</v>
      </c>
      <c r="B99" t="s">
        <v>20</v>
      </c>
      <c r="C99">
        <v>2.1846700000000001</v>
      </c>
      <c r="D99">
        <v>3.4160000000000003E-2</v>
      </c>
      <c r="E99">
        <v>1.23</v>
      </c>
      <c r="F99">
        <v>1.44</v>
      </c>
      <c r="G99">
        <v>1570</v>
      </c>
      <c r="H99" t="s">
        <v>134</v>
      </c>
      <c r="I99">
        <v>5830</v>
      </c>
      <c r="J99">
        <v>1.23</v>
      </c>
      <c r="K99">
        <v>1.46</v>
      </c>
      <c r="L99">
        <v>0.14000000000000001</v>
      </c>
      <c r="M99">
        <v>4.3600000000000003</v>
      </c>
      <c r="N99">
        <v>337.45782430000003</v>
      </c>
      <c r="O99">
        <v>-48.003098799999997</v>
      </c>
      <c r="P99">
        <v>137.54400000000001</v>
      </c>
      <c r="Q99">
        <v>10.092000000000001</v>
      </c>
      <c r="R99">
        <v>9.9369700000000005</v>
      </c>
      <c r="S99">
        <f t="shared" si="5"/>
        <v>422.11900227636102</v>
      </c>
      <c r="T99">
        <f t="shared" si="4"/>
        <v>-5</v>
      </c>
    </row>
    <row r="100" spans="1:20" x14ac:dyDescent="0.2">
      <c r="A100" t="s">
        <v>79</v>
      </c>
      <c r="B100" t="s">
        <v>20</v>
      </c>
      <c r="C100">
        <v>5.75251</v>
      </c>
      <c r="D100">
        <v>7.17E-2</v>
      </c>
      <c r="E100">
        <v>1.02</v>
      </c>
      <c r="F100">
        <v>2.4300000000000002</v>
      </c>
      <c r="G100">
        <v>1480</v>
      </c>
      <c r="H100" t="s">
        <v>54</v>
      </c>
      <c r="I100">
        <v>6150</v>
      </c>
      <c r="J100">
        <v>1.64</v>
      </c>
      <c r="K100">
        <v>1.21</v>
      </c>
      <c r="L100">
        <v>0.21</v>
      </c>
      <c r="M100">
        <v>4.3</v>
      </c>
      <c r="N100">
        <v>39.897668899999999</v>
      </c>
      <c r="O100">
        <v>-50.008193400000003</v>
      </c>
      <c r="P100">
        <v>158.66</v>
      </c>
      <c r="Q100">
        <v>9.4749999999999996</v>
      </c>
      <c r="R100">
        <v>9.3251000000000008</v>
      </c>
      <c r="S100">
        <f t="shared" si="5"/>
        <v>162.15983922320817</v>
      </c>
      <c r="T100">
        <f t="shared" si="4"/>
        <v>-5</v>
      </c>
    </row>
    <row r="101" spans="1:20" x14ac:dyDescent="0.2">
      <c r="A101" t="s">
        <v>107</v>
      </c>
      <c r="B101" t="s">
        <v>20</v>
      </c>
      <c r="C101">
        <v>3.1915399999999998</v>
      </c>
      <c r="D101">
        <v>4.7600000000000003E-2</v>
      </c>
      <c r="E101">
        <v>1.41</v>
      </c>
      <c r="F101">
        <v>7.29</v>
      </c>
      <c r="G101">
        <v>1729</v>
      </c>
      <c r="H101" t="s">
        <v>108</v>
      </c>
      <c r="I101">
        <v>6429</v>
      </c>
      <c r="J101">
        <v>1.54</v>
      </c>
      <c r="K101">
        <v>0.57999999999999996</v>
      </c>
      <c r="L101">
        <v>-0.18</v>
      </c>
      <c r="M101">
        <v>3.95</v>
      </c>
      <c r="N101">
        <v>65.469581399999996</v>
      </c>
      <c r="O101">
        <v>57.817209499999997</v>
      </c>
      <c r="P101">
        <v>213.053</v>
      </c>
      <c r="Q101">
        <v>9.8539999999999992</v>
      </c>
      <c r="R101">
        <v>9.7388899999999996</v>
      </c>
      <c r="S101">
        <f t="shared" si="5"/>
        <v>120.66830436099001</v>
      </c>
      <c r="T101">
        <f t="shared" si="4"/>
        <v>-5</v>
      </c>
    </row>
  </sheetData>
  <autoFilter ref="A1:X101" xr:uid="{00000000-0001-0000-0000-000000000000}"/>
  <sortState xmlns:xlrd2="http://schemas.microsoft.com/office/spreadsheetml/2017/richdata2" ref="A2:R78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2026-03-17T11:04:06Z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