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4CD93ED1-1396-9F4E-A85A-D0ED3EBB4825}" xr6:coauthVersionLast="47" xr6:coauthVersionMax="47" xr10:uidLastSave="{00000000-0000-0000-0000-000000000000}"/>
  <bookViews>
    <workbookView xWindow="7600" yWindow="704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51" i="1"/>
  <c r="T79" i="1"/>
  <c r="T37" i="1"/>
  <c r="S37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8" i="1"/>
  <c r="T90" i="1"/>
  <c r="T92" i="1"/>
  <c r="T58" i="1"/>
  <c r="T57" i="1"/>
  <c r="T67" i="1"/>
  <c r="T63" i="1"/>
  <c r="T24" i="1"/>
  <c r="T82" i="1"/>
  <c r="T91" i="1"/>
  <c r="T73" i="1"/>
  <c r="T22" i="1"/>
  <c r="T25" i="1"/>
  <c r="T94" i="1"/>
  <c r="T53" i="1"/>
  <c r="T52" i="1"/>
  <c r="T35" i="1"/>
  <c r="T64" i="1"/>
  <c r="T48" i="1"/>
  <c r="T41" i="1"/>
  <c r="T77" i="1"/>
  <c r="T19" i="1"/>
  <c r="T99" i="1"/>
  <c r="T44" i="1"/>
  <c r="T65" i="1"/>
  <c r="T75" i="1"/>
  <c r="T69" i="1"/>
  <c r="T84" i="1"/>
  <c r="T72" i="1"/>
  <c r="T70" i="1"/>
  <c r="T81" i="1"/>
  <c r="T49" i="1"/>
  <c r="T20" i="1"/>
  <c r="T93" i="1"/>
  <c r="T96" i="1"/>
  <c r="T74" i="1"/>
  <c r="T80" i="1"/>
  <c r="T95" i="1"/>
  <c r="T97" i="1"/>
  <c r="T28" i="1"/>
  <c r="T42" i="1"/>
  <c r="T61" i="1"/>
  <c r="T39" i="1"/>
  <c r="T29" i="1"/>
  <c r="T32" i="1"/>
  <c r="T34" i="1"/>
  <c r="T46" i="1"/>
  <c r="T68" i="1"/>
  <c r="S86" i="1"/>
  <c r="S47" i="1"/>
  <c r="S97" i="1"/>
  <c r="S95" i="1"/>
  <c r="S80" i="1"/>
  <c r="S74" i="1"/>
  <c r="S96" i="1"/>
  <c r="S93" i="1"/>
  <c r="S20" i="1"/>
  <c r="S49" i="1"/>
  <c r="S81" i="1"/>
  <c r="S70" i="1"/>
  <c r="S72" i="1"/>
  <c r="S84" i="1"/>
  <c r="S69" i="1"/>
  <c r="S75" i="1"/>
  <c r="S89" i="1"/>
  <c r="S65" i="1"/>
  <c r="S44" i="1"/>
  <c r="S99" i="1"/>
  <c r="S19" i="1"/>
  <c r="S77" i="1"/>
  <c r="S41" i="1"/>
  <c r="S48" i="1"/>
  <c r="S64" i="1"/>
  <c r="S35" i="1"/>
  <c r="S52" i="1"/>
  <c r="S53" i="1"/>
  <c r="S94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8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<sst xmlns="http://schemas.openxmlformats.org/spreadsheetml/2006/main" count="279" uniqueCount="164">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</sst>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00"/>
  <sheetViews>
    <sheetView tabSelected="1" zoomScale="125" workbookViewId="0">
      <pane ySplit="1" topLeftCell="A8" activePane="bottomLeft" state="frozen"/>
      <selection pane="bottomLeft" activeCell="V1" sqref="V1:V1048576"/>
    </sheetView>
  </sheetViews>
  <sheetFormatPr baseColWidth="10" defaultColWidth="8" defaultRowHeight="15" x14ac:dyDescent="0.2"/>
  <cols>
    <col min="1" max="1" width="21.83203125" bestFit="1" customWidth="1"/>
    <col min="2" max="2" width="16.83203125" hidden="1" customWidth="1"/>
    <col min="3" max="3" width="12.1640625" hidden="1" customWidth="1"/>
    <col min="4" max="4" width="12.5" hidden="1" customWidth="1"/>
    <col min="5" max="6" width="11.1640625" hidden="1" customWidth="1"/>
    <col min="7" max="7" width="8.5" hidden="1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142</v>
      </c>
      <c r="W1" s="2" t="s">
        <v>143</v>
      </c>
    </row>
    <row r="2" spans="1:54" x14ac:dyDescent="0.2">
      <c r="A2" t="s">
        <v>162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147</v>
      </c>
      <c r="AY2" s="3"/>
      <c r="BA2" s="3"/>
      <c r="BB2" s="3"/>
    </row>
    <row r="3" spans="1:54" x14ac:dyDescent="0.2">
      <c r="A3" t="s">
        <v>146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147</v>
      </c>
      <c r="AY3" s="3"/>
      <c r="BA3" s="3"/>
      <c r="BB3" s="3"/>
    </row>
    <row r="4" spans="1:54" x14ac:dyDescent="0.2">
      <c r="A4" t="s">
        <v>144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145</v>
      </c>
      <c r="AY4" s="3"/>
      <c r="BA4" s="3"/>
      <c r="BB4" s="3"/>
    </row>
    <row r="5" spans="1:54" x14ac:dyDescent="0.2">
      <c r="A5" t="s">
        <v>148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145</v>
      </c>
      <c r="AY5" s="3"/>
      <c r="BA5" s="3"/>
      <c r="BB5" s="3"/>
    </row>
    <row r="6" spans="1:54" x14ac:dyDescent="0.2">
      <c r="A6" t="s">
        <v>159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145</v>
      </c>
      <c r="AY6" s="3"/>
      <c r="BA6" s="3"/>
      <c r="BB6" s="3"/>
    </row>
    <row r="7" spans="1:54" x14ac:dyDescent="0.2">
      <c r="A7" t="s">
        <v>151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145</v>
      </c>
    </row>
    <row r="8" spans="1:54" x14ac:dyDescent="0.2">
      <c r="A8" t="s">
        <v>154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145</v>
      </c>
    </row>
    <row r="9" spans="1:54" x14ac:dyDescent="0.2">
      <c r="A9" t="s">
        <v>157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145</v>
      </c>
    </row>
    <row r="10" spans="1:54" x14ac:dyDescent="0.2">
      <c r="A10" t="s">
        <v>158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147</v>
      </c>
    </row>
    <row r="11" spans="1:54" x14ac:dyDescent="0.2">
      <c r="A11" t="s">
        <v>156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147</v>
      </c>
    </row>
    <row r="12" spans="1:54" x14ac:dyDescent="0.2">
      <c r="A12" t="s">
        <v>160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147</v>
      </c>
    </row>
    <row r="13" spans="1:54" x14ac:dyDescent="0.2">
      <c r="A13" t="s">
        <v>161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x14ac:dyDescent="0.2">
      <c r="A14" t="s">
        <v>153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147</v>
      </c>
    </row>
    <row r="15" spans="1:54" x14ac:dyDescent="0.2">
      <c r="A15" t="s">
        <v>155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145</v>
      </c>
    </row>
    <row r="16" spans="1:54" x14ac:dyDescent="0.2">
      <c r="A16" t="s">
        <v>152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147</v>
      </c>
    </row>
    <row r="17" spans="1:23" x14ac:dyDescent="0.2">
      <c r="A17" t="s">
        <v>150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147</v>
      </c>
    </row>
    <row r="18" spans="1:23" x14ac:dyDescent="0.2">
      <c r="A18" t="s">
        <v>149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145</v>
      </c>
    </row>
    <row r="19" spans="1:23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x14ac:dyDescent="0.2">
      <c r="A20" t="s">
        <v>124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125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x14ac:dyDescent="0.2">
      <c r="A23" t="s">
        <v>139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x14ac:dyDescent="0.2">
      <c r="A26" t="s">
        <v>140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137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t="s">
        <v>109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110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123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141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137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137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111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115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116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121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119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120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129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130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t="s">
        <v>114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138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99" si="4">IF(I79&gt;6800,-7,-5)</f>
        <v>-5</v>
      </c>
    </row>
    <row r="80" spans="1:20" x14ac:dyDescent="0.2">
      <c r="A80" t="s">
        <v>131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99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122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117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118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137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112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113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137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t="s">
        <v>126</v>
      </c>
      <c r="B93" t="s">
        <v>20</v>
      </c>
      <c r="C93">
        <v>3.6623920000000001</v>
      </c>
      <c r="D93">
        <v>5.1900000000000002E-2</v>
      </c>
      <c r="E93">
        <v>1.53</v>
      </c>
      <c r="F93">
        <v>0.85</v>
      </c>
      <c r="G93">
        <v>1716.2</v>
      </c>
      <c r="H93" t="s">
        <v>127</v>
      </c>
      <c r="I93">
        <v>6600</v>
      </c>
      <c r="J93">
        <v>1.51</v>
      </c>
      <c r="K93">
        <v>1.39</v>
      </c>
      <c r="L93">
        <v>0.03</v>
      </c>
      <c r="M93">
        <v>4.2</v>
      </c>
      <c r="N93">
        <v>66.370901599999996</v>
      </c>
      <c r="O93">
        <v>-30.600436200000001</v>
      </c>
      <c r="P93">
        <v>246.69</v>
      </c>
      <c r="Q93">
        <v>10.044</v>
      </c>
      <c r="R93">
        <v>9.9720200000000006</v>
      </c>
      <c r="S93">
        <f t="shared" si="5"/>
        <v>1209.5375438309629</v>
      </c>
      <c r="T93">
        <f t="shared" si="4"/>
        <v>-5</v>
      </c>
    </row>
    <row r="94" spans="1:21" x14ac:dyDescent="0.2">
      <c r="A94" t="s">
        <v>96</v>
      </c>
      <c r="B94" t="s">
        <v>20</v>
      </c>
      <c r="C94">
        <v>8.1587200000000006</v>
      </c>
      <c r="D94">
        <v>8.0100000000000005E-2</v>
      </c>
      <c r="E94">
        <v>1.1299999999999999</v>
      </c>
      <c r="F94">
        <v>2.54</v>
      </c>
      <c r="G94">
        <v>1059</v>
      </c>
      <c r="H94" t="s">
        <v>97</v>
      </c>
      <c r="I94">
        <v>5600</v>
      </c>
      <c r="J94">
        <v>1.03</v>
      </c>
      <c r="K94">
        <v>1.34</v>
      </c>
      <c r="L94">
        <v>0.17</v>
      </c>
      <c r="M94">
        <v>4.5</v>
      </c>
      <c r="N94">
        <v>359.90087369999998</v>
      </c>
      <c r="O94">
        <v>-35.031334899999997</v>
      </c>
      <c r="P94">
        <v>89.960599999999999</v>
      </c>
      <c r="Q94">
        <v>9.7889999999999997</v>
      </c>
      <c r="R94">
        <v>9.6124899999999993</v>
      </c>
      <c r="S94">
        <f t="shared" si="5"/>
        <v>136.24063220140397</v>
      </c>
      <c r="T94">
        <f t="shared" si="4"/>
        <v>-5</v>
      </c>
    </row>
    <row r="95" spans="1:21" x14ac:dyDescent="0.2">
      <c r="A95" t="s">
        <v>132</v>
      </c>
      <c r="B95" t="s">
        <v>20</v>
      </c>
      <c r="C95">
        <v>2.7057899999999999</v>
      </c>
      <c r="D95">
        <v>4.4699999999999997E-2</v>
      </c>
      <c r="E95">
        <v>1.62</v>
      </c>
      <c r="F95">
        <v>1.17</v>
      </c>
      <c r="G95">
        <v>2190</v>
      </c>
      <c r="H95" t="s">
        <v>127</v>
      </c>
      <c r="I95">
        <v>6480</v>
      </c>
      <c r="J95">
        <v>2.1</v>
      </c>
      <c r="K95">
        <v>1.48</v>
      </c>
      <c r="L95">
        <v>0.12</v>
      </c>
      <c r="M95">
        <v>3.96</v>
      </c>
      <c r="N95">
        <v>72.660591600000004</v>
      </c>
      <c r="O95">
        <v>1.8938364999999999</v>
      </c>
      <c r="P95">
        <v>275.66399999999999</v>
      </c>
      <c r="Q95">
        <v>10.073</v>
      </c>
      <c r="R95">
        <v>9.8979599999999994</v>
      </c>
      <c r="S95">
        <f t="shared" si="5"/>
        <v>1257.117296864338</v>
      </c>
      <c r="T95">
        <f t="shared" si="4"/>
        <v>-5</v>
      </c>
    </row>
    <row r="96" spans="1:21" x14ac:dyDescent="0.2">
      <c r="A96" t="s">
        <v>128</v>
      </c>
      <c r="B96" t="s">
        <v>20</v>
      </c>
      <c r="C96">
        <v>3.9501900000000001</v>
      </c>
      <c r="D96">
        <v>5.5E-2</v>
      </c>
      <c r="E96">
        <v>1.58</v>
      </c>
      <c r="F96">
        <v>0.5</v>
      </c>
      <c r="G96">
        <v>1604</v>
      </c>
      <c r="H96" t="s">
        <v>54</v>
      </c>
      <c r="I96">
        <v>6170</v>
      </c>
      <c r="J96">
        <v>1.48</v>
      </c>
      <c r="K96">
        <v>1.67</v>
      </c>
      <c r="L96">
        <v>0.26</v>
      </c>
      <c r="M96">
        <v>4.2699999999999996</v>
      </c>
      <c r="N96">
        <v>313.78323929999999</v>
      </c>
      <c r="O96">
        <v>-34.135751200000001</v>
      </c>
      <c r="P96">
        <v>211.21100000000001</v>
      </c>
      <c r="Q96">
        <v>10.051</v>
      </c>
      <c r="R96">
        <v>10.028499999999999</v>
      </c>
      <c r="S96">
        <f t="shared" si="5"/>
        <v>2049.4439875099679</v>
      </c>
      <c r="T96">
        <f t="shared" si="4"/>
        <v>-5</v>
      </c>
    </row>
    <row r="97" spans="1:20" x14ac:dyDescent="0.2">
      <c r="A97" t="s">
        <v>133</v>
      </c>
      <c r="B97" t="s">
        <v>20</v>
      </c>
      <c r="C97">
        <v>2.1846700000000001</v>
      </c>
      <c r="D97">
        <v>3.4160000000000003E-2</v>
      </c>
      <c r="E97">
        <v>1.23</v>
      </c>
      <c r="F97">
        <v>1.44</v>
      </c>
      <c r="G97">
        <v>1570</v>
      </c>
      <c r="H97" t="s">
        <v>134</v>
      </c>
      <c r="I97">
        <v>5830</v>
      </c>
      <c r="J97">
        <v>1.23</v>
      </c>
      <c r="K97">
        <v>1.46</v>
      </c>
      <c r="L97">
        <v>0.14000000000000001</v>
      </c>
      <c r="M97">
        <v>4.3600000000000003</v>
      </c>
      <c r="N97">
        <v>337.45782430000003</v>
      </c>
      <c r="O97">
        <v>-48.003098799999997</v>
      </c>
      <c r="P97">
        <v>137.54400000000001</v>
      </c>
      <c r="Q97">
        <v>10.092000000000001</v>
      </c>
      <c r="R97">
        <v>9.9369700000000005</v>
      </c>
      <c r="S97">
        <f t="shared" si="5"/>
        <v>422.11900227636102</v>
      </c>
      <c r="T97">
        <f t="shared" si="4"/>
        <v>-5</v>
      </c>
    </row>
    <row r="98" spans="1:20" x14ac:dyDescent="0.2">
      <c r="A98" t="s">
        <v>79</v>
      </c>
      <c r="B98" t="s">
        <v>20</v>
      </c>
      <c r="C98">
        <v>5.75251</v>
      </c>
      <c r="D98">
        <v>7.17E-2</v>
      </c>
      <c r="E98">
        <v>1.02</v>
      </c>
      <c r="F98">
        <v>2.4300000000000002</v>
      </c>
      <c r="G98">
        <v>1480</v>
      </c>
      <c r="H98" t="s">
        <v>54</v>
      </c>
      <c r="I98">
        <v>6150</v>
      </c>
      <c r="J98">
        <v>1.64</v>
      </c>
      <c r="K98">
        <v>1.21</v>
      </c>
      <c r="L98">
        <v>0.21</v>
      </c>
      <c r="M98">
        <v>4.3</v>
      </c>
      <c r="N98">
        <v>39.897668899999999</v>
      </c>
      <c r="O98">
        <v>-50.008193400000003</v>
      </c>
      <c r="P98">
        <v>158.66</v>
      </c>
      <c r="Q98">
        <v>9.4749999999999996</v>
      </c>
      <c r="R98">
        <v>9.3251000000000008</v>
      </c>
      <c r="S98">
        <f t="shared" si="5"/>
        <v>162.15983922320817</v>
      </c>
      <c r="T98">
        <f t="shared" si="4"/>
        <v>-5</v>
      </c>
    </row>
    <row r="99" spans="1:20" x14ac:dyDescent="0.2">
      <c r="A99" t="s">
        <v>107</v>
      </c>
      <c r="B99" t="s">
        <v>20</v>
      </c>
      <c r="C99">
        <v>3.1915399999999998</v>
      </c>
      <c r="D99">
        <v>4.7600000000000003E-2</v>
      </c>
      <c r="E99">
        <v>1.41</v>
      </c>
      <c r="F99">
        <v>7.29</v>
      </c>
      <c r="G99">
        <v>1729</v>
      </c>
      <c r="H99" t="s">
        <v>108</v>
      </c>
      <c r="I99">
        <v>6429</v>
      </c>
      <c r="J99">
        <v>1.54</v>
      </c>
      <c r="K99">
        <v>0.57999999999999996</v>
      </c>
      <c r="L99">
        <v>-0.18</v>
      </c>
      <c r="M99">
        <v>3.95</v>
      </c>
      <c r="N99">
        <v>65.469581399999996</v>
      </c>
      <c r="O99">
        <v>57.817209499999997</v>
      </c>
      <c r="P99">
        <v>213.053</v>
      </c>
      <c r="Q99">
        <v>9.8539999999999992</v>
      </c>
      <c r="R99">
        <v>9.7388899999999996</v>
      </c>
      <c r="S99">
        <f t="shared" si="5"/>
        <v>120.66830436099001</v>
      </c>
      <c r="T99">
        <f t="shared" si="4"/>
        <v>-5</v>
      </c>
    </row>
    <row r="100" spans="1:20" ht="16" thickBot="1" x14ac:dyDescent="0.25">
      <c r="A100" s="6" t="s">
        <v>163</v>
      </c>
      <c r="I100">
        <v>7065.3916019999997</v>
      </c>
      <c r="N100">
        <v>146.7834014</v>
      </c>
      <c r="O100">
        <v>-54.204010279999999</v>
      </c>
      <c r="P100">
        <v>300.9884644</v>
      </c>
      <c r="R100">
        <v>9.2583198549999999</v>
      </c>
    </row>
  </sheetData>
  <autoFilter ref="A1:W99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2026-03-17T19:45:56Z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