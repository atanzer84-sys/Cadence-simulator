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F477CA90-EA84-2A4D-91D1-7C97C04DEB1E}" xr6:coauthVersionLast="47" xr6:coauthVersionMax="47" xr10:uidLastSave="{00000000-0000-0000-0000-000000000000}"/>
  <bookViews>
    <workbookView xWindow="160" yWindow="600" windowWidth="43100" windowHeight="25500" xr2:uid="{00000000-000D-0000-FFFF-FFFF00000000}"/>
  </bookViews>
  <sheets>
    <sheet name="Targets_V10p1" sheetId="1" r:id="rId1"/>
  </sheets>
  <definedNames>
    <definedName name="_xlnm._FilterDatabase" localSheetId="0" hidden="1">Targets_V10p1!$A$1:$Y$101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1" l="1"/>
  <c r="S35" i="1"/>
  <c r="T65" i="1"/>
  <c r="T21" i="1"/>
  <c r="S21" i="1"/>
  <c r="T41" i="1"/>
  <c r="T72" i="1"/>
  <c r="T75" i="1"/>
  <c r="T73" i="1"/>
  <c r="T14" i="1"/>
  <c r="T20" i="1"/>
  <c r="T40" i="1"/>
  <c r="T39" i="1"/>
  <c r="T17" i="1"/>
  <c r="T31" i="1"/>
  <c r="T22" i="1"/>
  <c r="T34" i="1"/>
  <c r="T29" i="1"/>
  <c r="T5" i="1"/>
  <c r="T15" i="1"/>
  <c r="T47" i="1"/>
  <c r="T61" i="1"/>
  <c r="T51" i="1"/>
  <c r="T63" i="1"/>
  <c r="T27" i="1"/>
  <c r="T56" i="1"/>
  <c r="T45" i="1"/>
  <c r="T71" i="1"/>
  <c r="T69" i="1"/>
  <c r="T24" i="1"/>
  <c r="T74" i="1"/>
  <c r="T44" i="1"/>
  <c r="T11" i="1"/>
  <c r="T84" i="1"/>
  <c r="T76" i="1"/>
  <c r="T78" i="1"/>
  <c r="T43" i="1"/>
  <c r="T42" i="1"/>
  <c r="T52" i="1"/>
  <c r="T48" i="1"/>
  <c r="T8" i="1"/>
  <c r="T68" i="1"/>
  <c r="T77" i="1"/>
  <c r="T58" i="1"/>
  <c r="T6" i="1"/>
  <c r="T9" i="1"/>
  <c r="T80" i="1"/>
  <c r="T38" i="1"/>
  <c r="T37" i="1"/>
  <c r="T19" i="1"/>
  <c r="T49" i="1"/>
  <c r="T32" i="1"/>
  <c r="T25" i="1"/>
  <c r="T62" i="1"/>
  <c r="T3" i="1"/>
  <c r="T85" i="1"/>
  <c r="T28" i="1"/>
  <c r="T50" i="1"/>
  <c r="T60" i="1"/>
  <c r="T54" i="1"/>
  <c r="T70" i="1"/>
  <c r="T57" i="1"/>
  <c r="T55" i="1"/>
  <c r="T67" i="1"/>
  <c r="T33" i="1"/>
  <c r="T4" i="1"/>
  <c r="T79" i="1"/>
  <c r="T82" i="1"/>
  <c r="T59" i="1"/>
  <c r="T66" i="1"/>
  <c r="T81" i="1"/>
  <c r="T83" i="1"/>
  <c r="T12" i="1"/>
  <c r="T26" i="1"/>
  <c r="T46" i="1"/>
  <c r="T23" i="1"/>
  <c r="T13" i="1"/>
  <c r="T16" i="1"/>
  <c r="T18" i="1"/>
  <c r="T30" i="1"/>
  <c r="T53" i="1"/>
  <c r="S72" i="1"/>
  <c r="S31" i="1"/>
  <c r="S83" i="1"/>
  <c r="S81" i="1"/>
  <c r="S66" i="1"/>
  <c r="S59" i="1"/>
  <c r="S82" i="1"/>
  <c r="S79" i="1"/>
  <c r="S4" i="1"/>
  <c r="S33" i="1"/>
  <c r="S67" i="1"/>
  <c r="S55" i="1"/>
  <c r="S57" i="1"/>
  <c r="S70" i="1"/>
  <c r="S54" i="1"/>
  <c r="S60" i="1"/>
  <c r="S75" i="1"/>
  <c r="S50" i="1"/>
  <c r="S28" i="1"/>
  <c r="S85" i="1"/>
  <c r="S3" i="1"/>
  <c r="S62" i="1"/>
  <c r="S25" i="1"/>
  <c r="S32" i="1"/>
  <c r="S49" i="1"/>
  <c r="S19" i="1"/>
  <c r="S37" i="1"/>
  <c r="S38" i="1"/>
  <c r="S80" i="1"/>
  <c r="S9" i="1"/>
  <c r="S6" i="1"/>
  <c r="S58" i="1"/>
  <c r="S77" i="1"/>
  <c r="S68" i="1"/>
  <c r="S8" i="1"/>
  <c r="S48" i="1"/>
  <c r="S52" i="1"/>
  <c r="S42" i="1"/>
  <c r="S43" i="1"/>
  <c r="S78" i="1"/>
  <c r="S76" i="1"/>
  <c r="S41" i="1"/>
  <c r="S84" i="1"/>
  <c r="S11" i="1"/>
  <c r="S44" i="1"/>
  <c r="S74" i="1"/>
  <c r="S24" i="1"/>
  <c r="S69" i="1"/>
  <c r="S71" i="1"/>
  <c r="S45" i="1"/>
  <c r="S56" i="1"/>
  <c r="S27" i="1"/>
  <c r="S63" i="1"/>
  <c r="S51" i="1"/>
  <c r="S61" i="1"/>
  <c r="S47" i="1"/>
  <c r="S15" i="1"/>
  <c r="S5" i="1"/>
  <c r="S29" i="1"/>
  <c r="S34" i="1"/>
  <c r="S22" i="1"/>
  <c r="S17" i="1"/>
  <c r="S39" i="1"/>
  <c r="S40" i="1"/>
  <c r="S20" i="1"/>
  <c r="S14" i="1"/>
  <c r="S73" i="1"/>
  <c r="S12" i="1"/>
  <c r="S26" i="1"/>
  <c r="S46" i="1"/>
  <c r="S23" i="1"/>
  <c r="S13" i="1"/>
  <c r="S16" i="1"/>
  <c r="S18" i="1"/>
  <c r="S53" i="1"/>
</calcChain>
</file>

<file path=xl/sharedStrings.xml><?xml version="1.0" encoding="utf-8"?>
<sst xmlns="http://schemas.openxmlformats.org/spreadsheetml/2006/main" count="300" uniqueCount="168">
  <si>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</si>
  <si>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</si>
  <si>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</si>
  <si>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</si>
  <si>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</si>
  <si>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</si>
  <si>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</si>
  <si>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</si>
  <si>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</si>
  <si>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</si>
  <si>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</si>
  <si>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</si>
  <si>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</si>
  <si>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</si>
  <si>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</si>
  <si>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</si>
  <si>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</si>
  <si>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</si>
  <si>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</si>
  <si>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</si>
  <si>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</si>
  <si>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</si>
  <si>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</si>
  <si>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</si>
  <si>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</si>
  <si>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</si>
  <si>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</si>
  <si>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</si>
  <si>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</si>
  <si>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</si>
  <si>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</si>
  <si>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</si>
  <si>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</si>
  <si>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</si>
  <si>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</si>
  <si>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</si>
  <si>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</si>
  <si>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</si>
  <si>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</si>
  <si>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</si>
  <si>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</si>
  <si>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</si>
  <si>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</si>
  <si>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</si>
  <si>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</si>
  <si>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</si>
  <si>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</si>
  <si>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</si>
  <si>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</si>
  <si>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</si>
  <si>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</si>
  <si>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</si>
  <si>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</si>
  <si>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</si>
  <si>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</si>
  <si>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</si>
  <si>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</si>
  <si>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</si>
  <si>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</si>
  <si>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</si>
  <si>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</si>
  <si>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</si>
  <si>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</si>
  <si>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</si>
  <si>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</si>
  <si>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</si>
  <si>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</si>
  <si>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</si>
  <si>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</si>
  <si>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</si>
  <si>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</si>
  <si>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</si>
  <si>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</si>
  <si>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</si>
  <si>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</si>
  <si>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</si>
  <si>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</si>
  <si>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</si>
  <si>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</si>
  <si>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</si>
  <si>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</si>
  <si>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</si>
  <si>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</si>
  <si>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</si>
  <si>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</si>
  <si>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</si>
  <si>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</si>
  <si>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</si>
  <si>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</si>
  <si>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</si>
  <si>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</si>
  <si>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</si>
  <si>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</si>
  <si>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</si>
  <si>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</si>
  <si>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</si>
  <si>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</si>
  <si>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</si>
  <si>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</si>
  <si>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</si>
  <si>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</si>
  <si>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</si>
  <si>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</si>
  <si>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</si>
  <si>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</si>
  <si>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</si>
  <si>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</si>
  <si>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</si>
  <si>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</si>
  <si>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</si>
  <si>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</si>
  <si>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</si>
  <si>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</si>
  <si>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</si>
  <si>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</si>
  <si>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</si>
  <si>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</si>
  <si>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</si>
  <si>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</si>
  <si>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</si>
  <si>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</si>
  <si>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</si>
  <si>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</si>
  <si>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</si>
  <si>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</si>
  <si>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</si>
  <si>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</si>
  <si>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</si>
  <si>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</si>
  <si>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</si>
  <si>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</si>
  <si>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</si>
  <si>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</si>
  <si>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</si>
  <si>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</si>
  <si>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</si>
  <si>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</si>
  <si>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</si>
  <si>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</si>
  <si>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</si>
  <si>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</si>
  <si>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</si>
  <si>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</si>
  <si>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</si>
  <si>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</si>
  <si>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</si>
  <si>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</si>
  <si>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</si>
  <si>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</si>
  <si>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</si>
  <si>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</si>
  <si>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</si>
  <si>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</si>
  <si>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</si>
  <si>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</si>
  <si>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</si>
  <si>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</si>
  <si>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</si>
  <si>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</si>
  <si>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</si>
  <si>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</si>
  <si>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</si>
  <si>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</si>
  <si>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</si>
  <si>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</si>
  <si>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</si>
  <si>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</si>
  <si>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Roland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</si>
</sst>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0" xfId="0" applyFill="1">
      <alignment vertical="center"/>
    </xf>
    <xf numFmtId="2" fontId="0" fillId="0" borderId="0" xfId="0" applyNumberFormat="1" applyFill="1">
      <alignment vertical="center"/>
    </xf>
    <xf numFmtId="0" fontId="2" fillId="0" borderId="0" xfId="0" applyFont="1" applyFill="1">
      <alignment vertical="center"/>
    </xf>
    <xf numFmtId="0" fontId="3" fillId="0" borderId="4" xfId="0" applyFont="1" applyFill="1" applyBorder="1" applyAlignment="1">
      <alignment horizontal="center" vertical="top"/>
    </xf>
    <xf numFmtId="2" fontId="0" fillId="0" borderId="0" xfId="0" applyNumberFormat="1" applyFill="1" applyAlignment="1"/>
    <xf numFmtId="0" fontId="0" fillId="0" borderId="0" xfId="0" applyFill="1" applyAlignment="1"/>
    <xf numFmtId="0" fontId="1" fillId="0" borderId="0" xfId="0" applyFont="1" applyFill="1" applyAlignment="1">
      <alignment horizontal="right" vertical="center" wrapText="1"/>
    </xf>
    <xf numFmtId="0" fontId="2" fillId="0" borderId="0" xfId="0" applyFont="1" applyFill="1" applyAlignment="1"/>
    <xf numFmtId="0" fontId="0" fillId="0" borderId="0" xfId="0" applyFill="1" applyAlignment="1">
      <alignment horizontal="right" vertical="center" wrapText="1"/>
    </xf>
    <xf numFmtId="0" fontId="0" fillId="0" borderId="0" xfId="0" applyFill="1" applyAlignment="1">
      <alignment horizontal="left" vertical="center" wrapText="1"/>
    </xf>
    <xf numFmtId="2" fontId="0" fillId="0" borderId="0" xfId="0" applyNumberFormat="1" applyFill="1" applyAlignment="1">
      <alignment horizontal="right" vertical="center" wrapText="1"/>
    </xf>
    <xf numFmtId="0" fontId="2" fillId="0" borderId="0" xfId="0" applyFont="1" applyFill="1" applyAlignment="1">
      <alignment horizontal="left" vertical="center" wrapText="1"/>
    </xf>
    <xf numFmtId="0" fontId="0" fillId="0" borderId="2" xfId="0" applyFill="1" applyBorder="1">
      <alignment vertical="center"/>
    </xf>
    <xf numFmtId="2" fontId="0" fillId="0" borderId="2" xfId="0" applyNumberFormat="1" applyFill="1" applyBorder="1">
      <alignment vertical="center"/>
    </xf>
    <xf numFmtId="164" fontId="0" fillId="0" borderId="0" xfId="0" applyNumberFormat="1" applyFill="1">
      <alignment vertical="center"/>
    </xf>
    <xf numFmtId="0" fontId="0" fillId="0" borderId="1" xfId="0" applyFill="1" applyBorder="1">
      <alignment vertical="center"/>
    </xf>
    <xf numFmtId="2" fontId="0" fillId="0" borderId="3" xfId="0" applyNumberFormat="1" applyFill="1" applyBorder="1">
      <alignment vertical="center"/>
    </xf>
    <xf numFmtId="0" fontId="0" fillId="0" borderId="3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02"/>
  <sheetViews>
    <sheetView tabSelected="1" zoomScale="125" workbookViewId="0">
      <pane ySplit="1" topLeftCell="A2" activePane="bottomLeft" state="frozen"/>
      <selection pane="bottomLeft" activeCell="N10" sqref="N10"/>
    </sheetView>
  </sheetViews>
  <sheetFormatPr baseColWidth="10" defaultColWidth="8" defaultRowHeight="15" x14ac:dyDescent="0.2"/>
  <cols>
    <col min="1" max="1" width="21.83203125" style="1" bestFit="1" customWidth="1"/>
    <col min="2" max="2" width="16.83203125" style="1" hidden="1" customWidth="1"/>
    <col min="3" max="3" width="12.1640625" style="1" hidden="1" customWidth="1"/>
    <col min="4" max="4" width="12.5" style="1" hidden="1" customWidth="1"/>
    <col min="5" max="6" width="11.1640625" style="1" hidden="1" customWidth="1"/>
    <col min="7" max="7" width="8.5" style="1" hidden="1" customWidth="1"/>
    <col min="8" max="8" width="12.5" style="1" hidden="1" customWidth="1"/>
    <col min="9" max="9" width="8.6640625" style="2" bestFit="1" customWidth="1"/>
    <col min="10" max="10" width="12.1640625" style="1" bestFit="1" customWidth="1"/>
    <col min="11" max="11" width="10.1640625" style="1" bestFit="1" customWidth="1"/>
    <col min="12" max="12" width="8.83203125" style="1" bestFit="1" customWidth="1"/>
    <col min="13" max="14" width="12.1640625" style="1" bestFit="1" customWidth="1"/>
    <col min="15" max="15" width="12.6640625" style="1" bestFit="1" customWidth="1"/>
    <col min="16" max="16" width="9.1640625" style="1" bestFit="1" customWidth="1"/>
    <col min="17" max="18" width="12.1640625" style="1" bestFit="1" customWidth="1"/>
    <col min="19" max="19" width="16.1640625" style="1" bestFit="1" customWidth="1"/>
    <col min="20" max="20" width="7" style="1" bestFit="1" customWidth="1"/>
    <col min="21" max="21" width="13.33203125" style="1" bestFit="1" customWidth="1"/>
    <col min="22" max="22" width="12.1640625" style="1" bestFit="1" customWidth="1"/>
    <col min="23" max="23" width="12" style="1" bestFit="1" customWidth="1"/>
    <col min="24" max="24" width="9.83203125" style="1" bestFit="1" customWidth="1"/>
    <col min="25" max="25" width="9" style="1" bestFit="1" customWidth="1"/>
    <col min="26" max="27" width="11.33203125" style="1"/>
    <col min="28" max="28" width="8" style="1"/>
    <col min="29" max="29" width="9.83203125" style="1"/>
    <col min="30" max="30" width="9" style="1"/>
    <col min="31" max="31" width="8" style="1"/>
    <col min="32" max="32" width="9.83203125" style="1"/>
    <col min="33" max="33" width="9" style="1"/>
    <col min="34" max="34" width="8" style="1"/>
    <col min="35" max="35" width="9.83203125" style="1"/>
    <col min="36" max="36" width="9" style="1"/>
    <col min="37" max="40" width="8" style="1"/>
    <col min="41" max="41" width="9.83203125" style="1"/>
    <col min="42" max="42" width="9" style="1"/>
    <col min="43" max="46" width="8" style="1"/>
    <col min="47" max="47" width="9.83203125" style="1"/>
    <col min="48" max="48" width="9" style="1"/>
    <col min="49" max="49" width="8" style="1"/>
    <col min="50" max="50" width="9.83203125" style="1"/>
    <col min="51" max="51" width="9" style="1"/>
    <col min="52" max="59" width="8" style="1"/>
    <col min="60" max="60" width="8.1640625" style="1"/>
    <col min="61" max="16384" width="8" style="1"/>
  </cols>
  <sheetData>
    <row r="1" spans="1:6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135</v>
      </c>
      <c r="U1" s="3" t="s">
        <v>136</v>
      </c>
      <c r="V1" s="4" t="s">
        <v>145</v>
      </c>
      <c r="W1" s="4" t="s">
        <v>146</v>
      </c>
      <c r="X1" s="4" t="s">
        <v>147</v>
      </c>
      <c r="Y1" s="3" t="s">
        <v>167</v>
      </c>
    </row>
    <row r="2" spans="1:60" x14ac:dyDescent="0.2">
      <c r="A2" s="3" t="s">
        <v>139</v>
      </c>
      <c r="I2" s="5">
        <v>4907.77490234375</v>
      </c>
      <c r="J2" s="6"/>
      <c r="M2" s="6"/>
      <c r="N2" s="6">
        <v>221.24648617076679</v>
      </c>
      <c r="O2" s="6">
        <v>27.074315757773469</v>
      </c>
      <c r="Q2" s="6">
        <v>2.1833524703979492</v>
      </c>
      <c r="R2" s="6">
        <v>2.1833524703979492</v>
      </c>
      <c r="BE2" s="7"/>
      <c r="BG2" s="7"/>
      <c r="BH2" s="7"/>
    </row>
    <row r="3" spans="1:60" x14ac:dyDescent="0.2">
      <c r="A3" s="1" t="s">
        <v>106</v>
      </c>
      <c r="B3" s="1" t="s">
        <v>20</v>
      </c>
      <c r="C3" s="1">
        <v>4.4652997599999997</v>
      </c>
      <c r="D3" s="1">
        <v>5.561E-2</v>
      </c>
      <c r="E3" s="1">
        <v>1.319</v>
      </c>
      <c r="F3" s="1">
        <v>0.52500000000000002</v>
      </c>
      <c r="G3" s="1">
        <v>1322</v>
      </c>
      <c r="H3" s="1" t="s">
        <v>27</v>
      </c>
      <c r="I3" s="2">
        <v>5980</v>
      </c>
      <c r="J3" s="1">
        <v>1.1739999999999999</v>
      </c>
      <c r="K3" s="1">
        <v>1.151</v>
      </c>
      <c r="L3" s="1">
        <v>0.13</v>
      </c>
      <c r="M3" s="1">
        <v>4.359</v>
      </c>
      <c r="N3" s="1">
        <v>344.44536319999997</v>
      </c>
      <c r="O3" s="1">
        <v>38.674919000000003</v>
      </c>
      <c r="P3" s="1">
        <v>158.97900000000001</v>
      </c>
      <c r="Q3" s="1">
        <v>9.827</v>
      </c>
      <c r="R3" s="1">
        <v>10.178599999999999</v>
      </c>
      <c r="S3" s="1">
        <f>(0.000000000000000138*G3/(1.673534E-24*1.3*0.000000066726*F3*1.8986E+30/(E3*7149200000)^2))/100000</f>
        <v>1121.1126749906216</v>
      </c>
      <c r="T3" s="1">
        <f>IF(I3&gt;6800,-7,-5)</f>
        <v>-5</v>
      </c>
      <c r="BE3" s="7"/>
      <c r="BG3" s="7"/>
      <c r="BH3" s="7"/>
    </row>
    <row r="4" spans="1:60" x14ac:dyDescent="0.2">
      <c r="A4" s="1" t="s">
        <v>124</v>
      </c>
      <c r="B4" s="1" t="s">
        <v>20</v>
      </c>
      <c r="C4" s="1">
        <v>4.6276700000000002</v>
      </c>
      <c r="D4" s="1">
        <v>5.96E-2</v>
      </c>
      <c r="E4" s="1">
        <v>1.42</v>
      </c>
      <c r="F4" s="1">
        <v>3.44</v>
      </c>
      <c r="G4" s="1">
        <v>1624</v>
      </c>
      <c r="H4" s="1" t="s">
        <v>125</v>
      </c>
      <c r="I4" s="2">
        <v>6600</v>
      </c>
      <c r="J4" s="1">
        <v>1.82</v>
      </c>
      <c r="K4" s="1">
        <v>2.65</v>
      </c>
      <c r="L4" s="1">
        <v>0.11</v>
      </c>
      <c r="M4" s="1">
        <v>4.25</v>
      </c>
      <c r="N4" s="1">
        <v>260.11617189999998</v>
      </c>
      <c r="O4" s="1">
        <v>38.242168200000002</v>
      </c>
      <c r="P4" s="1">
        <v>222.66300000000001</v>
      </c>
      <c r="Q4" s="1">
        <v>9.9879999999999995</v>
      </c>
      <c r="R4" s="1">
        <v>9.8728300000000004</v>
      </c>
      <c r="S4" s="1">
        <f>(0.000000000000000138*G4/(1.673534E-24*1.3*0.000000066726*F4*1.8986E+30/(E4*7149200000)^2))/100000</f>
        <v>243.60813720463176</v>
      </c>
      <c r="T4" s="1">
        <f>IF(I4&gt;6800,-7,-5)</f>
        <v>-5</v>
      </c>
      <c r="BE4" s="7"/>
      <c r="BG4" s="7"/>
      <c r="BH4" s="7"/>
    </row>
    <row r="5" spans="1:60" x14ac:dyDescent="0.2">
      <c r="A5" s="1" t="s">
        <v>58</v>
      </c>
      <c r="B5" s="1" t="s">
        <v>20</v>
      </c>
      <c r="C5" s="1">
        <v>5.6335157999999996</v>
      </c>
      <c r="D5" s="1">
        <v>6.8140000000000006E-2</v>
      </c>
      <c r="E5" s="1">
        <v>0.95099999999999996</v>
      </c>
      <c r="F5" s="1">
        <v>9.02</v>
      </c>
      <c r="G5" s="1">
        <v>1540</v>
      </c>
      <c r="H5" s="1" t="s">
        <v>54</v>
      </c>
      <c r="I5" s="2">
        <v>6380</v>
      </c>
      <c r="J5" s="1">
        <v>1.39</v>
      </c>
      <c r="K5" s="1">
        <v>1.33</v>
      </c>
      <c r="L5" s="1">
        <v>0.18</v>
      </c>
      <c r="M5" s="1">
        <v>4.16</v>
      </c>
      <c r="N5" s="1">
        <v>245.1514324</v>
      </c>
      <c r="O5" s="1">
        <v>41.047960099999997</v>
      </c>
      <c r="P5" s="1">
        <v>127.774</v>
      </c>
      <c r="Q5" s="1">
        <v>8.7200000000000006</v>
      </c>
      <c r="R5" s="1">
        <v>8.5984200000000008</v>
      </c>
      <c r="S5" s="1">
        <f>(0.000000000000000138*G5/(1.673534E-24*1.3*0.000000066726*F5*1.8986E+30/(E5*7149200000)^2))/100000</f>
        <v>39.515068300859213</v>
      </c>
      <c r="T5" s="1">
        <f>IF(I5&gt;6800,-7,-5)</f>
        <v>-5</v>
      </c>
      <c r="BE5" s="7"/>
      <c r="BG5" s="7"/>
      <c r="BH5" s="7"/>
    </row>
    <row r="6" spans="1:60" x14ac:dyDescent="0.2">
      <c r="A6" s="1" t="s">
        <v>93</v>
      </c>
      <c r="B6" s="1" t="s">
        <v>20</v>
      </c>
      <c r="C6" s="1">
        <v>3.2122199999999999</v>
      </c>
      <c r="D6" s="1">
        <v>4.1399999999999999E-2</v>
      </c>
      <c r="E6" s="1">
        <v>1.1499999999999999</v>
      </c>
      <c r="F6" s="1">
        <v>2.4700000000000002</v>
      </c>
      <c r="G6" s="1">
        <v>1463</v>
      </c>
      <c r="H6" s="1" t="s">
        <v>94</v>
      </c>
      <c r="I6" s="2">
        <v>5302</v>
      </c>
      <c r="J6" s="1">
        <v>1.1100000000000001</v>
      </c>
      <c r="K6" s="1">
        <v>1.1299999999999999</v>
      </c>
      <c r="L6" s="1">
        <v>0.24</v>
      </c>
      <c r="M6" s="1">
        <v>4.3600000000000003</v>
      </c>
      <c r="N6" s="1">
        <v>155.6814593</v>
      </c>
      <c r="O6" s="1">
        <v>50.128711500000001</v>
      </c>
      <c r="P6" s="1">
        <v>81.764700000000005</v>
      </c>
      <c r="Q6" s="1">
        <v>9.7629999999999999</v>
      </c>
      <c r="R6" s="1">
        <v>9.5193600000000007</v>
      </c>
      <c r="S6" s="1">
        <f>(0.000000000000000138*G6/(1.673534E-24*1.3*0.000000066726*F6*1.8986E+30/(E6*7149200000)^2))/100000</f>
        <v>200.46131426194896</v>
      </c>
      <c r="T6" s="1">
        <f>IF(I6&gt;6800,-7,-5)</f>
        <v>-5</v>
      </c>
      <c r="BE6" s="7"/>
      <c r="BG6" s="7"/>
      <c r="BH6" s="7"/>
    </row>
    <row r="7" spans="1:60" x14ac:dyDescent="0.2">
      <c r="A7" s="8" t="s">
        <v>140</v>
      </c>
      <c r="B7" s="6"/>
      <c r="I7" s="5">
        <v>6245.11328125</v>
      </c>
      <c r="J7" s="6">
        <v>1.208241820335388</v>
      </c>
      <c r="M7" s="6">
        <v>4.2744002342224121</v>
      </c>
      <c r="N7" s="6">
        <v>31.04275939878713</v>
      </c>
      <c r="O7" s="6">
        <v>46.687851647860192</v>
      </c>
      <c r="P7" s="1">
        <v>283.38339999999999</v>
      </c>
      <c r="Q7" s="6">
        <v>11.12930202484131</v>
      </c>
      <c r="R7" s="6">
        <v>11.12930202484131</v>
      </c>
      <c r="V7" s="9"/>
      <c r="Z7" s="9"/>
      <c r="AA7" s="9"/>
    </row>
    <row r="8" spans="1:60" x14ac:dyDescent="0.2">
      <c r="A8" s="1" t="s">
        <v>88</v>
      </c>
      <c r="B8" s="1" t="s">
        <v>20</v>
      </c>
      <c r="C8" s="1">
        <v>4.7947813000000004</v>
      </c>
      <c r="D8" s="1">
        <v>6.2770000000000006E-2</v>
      </c>
      <c r="E8" s="1">
        <v>1.631</v>
      </c>
      <c r="F8" s="1">
        <v>0.57399999999999995</v>
      </c>
      <c r="G8" s="1">
        <v>1772</v>
      </c>
      <c r="I8" s="2">
        <v>6212</v>
      </c>
      <c r="J8" s="1">
        <v>2.1970000000000001</v>
      </c>
      <c r="K8" s="1">
        <v>1.4350000000000001</v>
      </c>
      <c r="L8" s="1">
        <v>3.6999999999999998E-2</v>
      </c>
      <c r="M8" s="1">
        <v>3.9114</v>
      </c>
      <c r="N8" s="1">
        <v>28.282571900000001</v>
      </c>
      <c r="O8" s="1">
        <v>52.053920900000001</v>
      </c>
      <c r="P8" s="1">
        <v>233.22</v>
      </c>
      <c r="Q8" s="1">
        <v>9.7270000000000003</v>
      </c>
      <c r="R8" s="1">
        <v>9.5635499999999993</v>
      </c>
      <c r="S8" s="1">
        <f>(0.000000000000000138*G8/(1.673534E-24*1.3*0.000000066726*F8*1.8986E+30/(E8*7149200000)^2))/100000</f>
        <v>2101.5864855136347</v>
      </c>
      <c r="T8" s="1">
        <f>IF(I8&gt;6800,-7,-5)</f>
        <v>-5</v>
      </c>
      <c r="V8" s="9"/>
      <c r="Z8" s="9"/>
      <c r="AA8" s="9"/>
    </row>
    <row r="9" spans="1:60" x14ac:dyDescent="0.2">
      <c r="A9" s="1" t="s">
        <v>95</v>
      </c>
      <c r="B9" s="1" t="s">
        <v>20</v>
      </c>
      <c r="C9" s="1">
        <v>4.7869491000000002</v>
      </c>
      <c r="D9" s="1">
        <v>6.5549999999999997E-2</v>
      </c>
      <c r="E9" s="1">
        <v>1.6759999999999999</v>
      </c>
      <c r="F9" s="1">
        <v>3.58</v>
      </c>
      <c r="G9" s="1">
        <v>1930</v>
      </c>
      <c r="I9" s="2">
        <v>7394</v>
      </c>
      <c r="J9" s="1">
        <v>1.9259999999999999</v>
      </c>
      <c r="K9" s="1">
        <v>1.6479999999999999</v>
      </c>
      <c r="L9" s="1">
        <v>-6.9000000000000006E-2</v>
      </c>
      <c r="M9" s="1">
        <v>4.1100000000000003</v>
      </c>
      <c r="N9" s="1">
        <v>130.5056385</v>
      </c>
      <c r="O9" s="1">
        <v>3.7105662000000001</v>
      </c>
      <c r="P9" s="1">
        <v>341.26299999999998</v>
      </c>
      <c r="Q9" s="1">
        <v>9.7739999999999991</v>
      </c>
      <c r="R9" s="1">
        <v>9.77332</v>
      </c>
      <c r="S9" s="1">
        <f>(0.000000000000000138*G9/(1.673534E-24*1.3*0.000000066726*F9*1.8986E+30/(E9*7149200000)^2))/100000</f>
        <v>387.53401759458865</v>
      </c>
      <c r="T9" s="1">
        <f>IF(I9&gt;6800,-7,-5)</f>
        <v>-7</v>
      </c>
    </row>
    <row r="10" spans="1:60" x14ac:dyDescent="0.2">
      <c r="A10" s="8" t="s">
        <v>141</v>
      </c>
      <c r="I10" s="5">
        <v>6424.27685546875</v>
      </c>
      <c r="J10" s="6">
        <v>2.0702402591705318</v>
      </c>
      <c r="M10" s="6"/>
      <c r="N10" s="6">
        <v>292.24718620018581</v>
      </c>
      <c r="O10" s="6">
        <v>47.969544064101818</v>
      </c>
      <c r="Q10" s="6">
        <v>10.36768245697021</v>
      </c>
      <c r="R10" s="6">
        <v>10.36768245697021</v>
      </c>
    </row>
    <row r="11" spans="1:60" x14ac:dyDescent="0.2">
      <c r="A11" s="1" t="s">
        <v>78</v>
      </c>
      <c r="B11" s="1" t="s">
        <v>20</v>
      </c>
      <c r="C11" s="1">
        <v>2.7443245200000002</v>
      </c>
      <c r="D11" s="1">
        <v>4.7390000000000002E-2</v>
      </c>
      <c r="E11" s="1">
        <v>1.87</v>
      </c>
      <c r="F11" s="1">
        <v>6.78</v>
      </c>
      <c r="G11" s="1">
        <v>2562</v>
      </c>
      <c r="I11" s="2">
        <v>8450</v>
      </c>
      <c r="J11" s="1">
        <v>1.8580000000000001</v>
      </c>
      <c r="K11" s="1">
        <v>1.89</v>
      </c>
      <c r="L11" s="1">
        <v>-5.8999999999999997E-2</v>
      </c>
      <c r="M11" s="1">
        <v>4.181</v>
      </c>
      <c r="N11" s="1">
        <v>74.552333200000007</v>
      </c>
      <c r="O11" s="1">
        <v>9.9979794000000002</v>
      </c>
      <c r="P11" s="1">
        <v>330.73899999999998</v>
      </c>
      <c r="Q11" s="1">
        <v>9.4700000000000006</v>
      </c>
      <c r="R11" s="1">
        <v>9.4517399999999991</v>
      </c>
      <c r="S11" s="1">
        <f t="shared" ref="S11:S35" si="0">(0.000000000000000138*G11/(1.673534E-24*1.3*0.000000066726*F11*1.8986E+30/(E11*7149200000)^2))/100000</f>
        <v>338.15838787809196</v>
      </c>
      <c r="T11" s="1">
        <f t="shared" ref="T11:T34" si="1">IF(I11&gt;6800,-7,-5)</f>
        <v>-7</v>
      </c>
      <c r="V11" s="9"/>
      <c r="Z11" s="9"/>
      <c r="AA11" s="9"/>
    </row>
    <row r="12" spans="1:60" ht="16" x14ac:dyDescent="0.2">
      <c r="A12" s="10" t="s">
        <v>38</v>
      </c>
      <c r="B12" s="10" t="s">
        <v>26</v>
      </c>
      <c r="C12" s="9">
        <v>6.1349779</v>
      </c>
      <c r="D12" s="9">
        <v>7.1300000000000002E-2</v>
      </c>
      <c r="E12" s="9">
        <v>1.1399999999999999</v>
      </c>
      <c r="F12" s="9">
        <v>2.14</v>
      </c>
      <c r="G12" s="9">
        <v>1361</v>
      </c>
      <c r="H12" s="10" t="s">
        <v>39</v>
      </c>
      <c r="I12" s="11">
        <v>5742</v>
      </c>
      <c r="J12" s="9">
        <v>2.04</v>
      </c>
      <c r="K12" s="9">
        <v>1.27</v>
      </c>
      <c r="L12" s="9">
        <v>0.28699999999999998</v>
      </c>
      <c r="M12" s="9">
        <v>3.92</v>
      </c>
      <c r="N12" s="9">
        <v>203.50995599999999</v>
      </c>
      <c r="O12" s="9">
        <v>53.728187599999998</v>
      </c>
      <c r="P12" s="9">
        <v>92.258899999999997</v>
      </c>
      <c r="Q12" s="9">
        <v>8.0500000000000007</v>
      </c>
      <c r="R12" s="9">
        <v>7.89255</v>
      </c>
      <c r="S12" s="1">
        <f t="shared" si="0"/>
        <v>211.51519610586323</v>
      </c>
      <c r="T12" s="1">
        <f t="shared" si="1"/>
        <v>-5</v>
      </c>
    </row>
    <row r="13" spans="1:60" x14ac:dyDescent="0.2">
      <c r="A13" s="1" t="s">
        <v>30</v>
      </c>
      <c r="B13" s="1" t="s">
        <v>20</v>
      </c>
      <c r="C13" s="1">
        <v>11.53533</v>
      </c>
      <c r="D13" s="1">
        <v>0.10970000000000001</v>
      </c>
      <c r="E13" s="1">
        <v>1.026</v>
      </c>
      <c r="F13" s="1">
        <v>0.41499999999999998</v>
      </c>
      <c r="G13" s="1">
        <v>1228.3</v>
      </c>
      <c r="H13" s="1" t="s">
        <v>31</v>
      </c>
      <c r="I13" s="2">
        <v>5521</v>
      </c>
      <c r="J13" s="1">
        <v>2.3359999999999999</v>
      </c>
      <c r="K13" s="1">
        <v>1.3240000000000001</v>
      </c>
      <c r="L13" s="1">
        <v>0.28999999999999998</v>
      </c>
      <c r="M13" s="1">
        <v>3.823</v>
      </c>
      <c r="N13" s="1">
        <v>4.4471631</v>
      </c>
      <c r="O13" s="1">
        <v>-66.358928500000005</v>
      </c>
      <c r="P13" s="1">
        <v>79.5702</v>
      </c>
      <c r="Q13" s="1">
        <v>7.79</v>
      </c>
      <c r="R13" s="1">
        <v>7.5933599999999997</v>
      </c>
      <c r="S13" s="1">
        <f t="shared" si="0"/>
        <v>797.33090232058362</v>
      </c>
      <c r="T13" s="1">
        <f t="shared" si="1"/>
        <v>-5</v>
      </c>
    </row>
    <row r="14" spans="1:60" ht="16" x14ac:dyDescent="0.2">
      <c r="A14" s="10" t="s">
        <v>42</v>
      </c>
      <c r="B14" s="10" t="s">
        <v>26</v>
      </c>
      <c r="C14" s="9">
        <v>2.8758900000000001</v>
      </c>
      <c r="D14" s="9">
        <v>4.3639999999999998E-2</v>
      </c>
      <c r="E14" s="9">
        <v>0.74</v>
      </c>
      <c r="F14" s="9">
        <v>0.38</v>
      </c>
      <c r="G14" s="9">
        <v>1626</v>
      </c>
      <c r="H14" s="10" t="s">
        <v>43</v>
      </c>
      <c r="I14" s="11">
        <v>6179</v>
      </c>
      <c r="J14" s="9">
        <v>1.41</v>
      </c>
      <c r="K14" s="9">
        <v>1.42</v>
      </c>
      <c r="L14" s="9">
        <v>0.32</v>
      </c>
      <c r="M14" s="9">
        <v>4.37</v>
      </c>
      <c r="N14" s="9">
        <v>247.62298269999999</v>
      </c>
      <c r="O14" s="9">
        <v>38.347534899999999</v>
      </c>
      <c r="P14" s="9">
        <v>75.8643</v>
      </c>
      <c r="Q14" s="9">
        <v>8.15</v>
      </c>
      <c r="R14" s="9">
        <v>8.0141600000000004</v>
      </c>
      <c r="S14" s="1">
        <f t="shared" si="0"/>
        <v>599.63628364223177</v>
      </c>
      <c r="T14" s="1">
        <f t="shared" si="1"/>
        <v>-5</v>
      </c>
      <c r="V14" s="9"/>
      <c r="Z14" s="9"/>
      <c r="AA14" s="9"/>
    </row>
    <row r="15" spans="1:60" x14ac:dyDescent="0.2">
      <c r="A15" s="1" t="s">
        <v>59</v>
      </c>
      <c r="B15" s="1" t="s">
        <v>20</v>
      </c>
      <c r="C15" s="1">
        <v>19.502103999999999</v>
      </c>
      <c r="D15" s="1">
        <v>0.1482</v>
      </c>
      <c r="E15" s="1">
        <v>0.52993221999999995</v>
      </c>
      <c r="F15" s="1">
        <v>3.0425219999999999E-2</v>
      </c>
      <c r="G15" s="1">
        <v>253.08</v>
      </c>
      <c r="H15" s="1" t="s">
        <v>43</v>
      </c>
      <c r="I15" s="2">
        <v>6310</v>
      </c>
      <c r="J15" s="1">
        <v>1.43</v>
      </c>
      <c r="K15" s="1">
        <v>1.1499999999999999</v>
      </c>
      <c r="L15" s="1">
        <v>-0.16</v>
      </c>
      <c r="M15" s="1">
        <v>4.1900000000000004</v>
      </c>
      <c r="N15" s="1">
        <v>253.78488530000001</v>
      </c>
      <c r="O15" s="1">
        <v>20.491523999999998</v>
      </c>
      <c r="P15" s="1">
        <v>107.898</v>
      </c>
      <c r="Q15" s="1">
        <v>8.8550000000000004</v>
      </c>
      <c r="R15" s="1">
        <v>8.7641200000000001</v>
      </c>
      <c r="S15" s="1">
        <f t="shared" si="0"/>
        <v>597.79498778467087</v>
      </c>
      <c r="T15" s="1">
        <f t="shared" si="1"/>
        <v>-5</v>
      </c>
    </row>
    <row r="16" spans="1:60" ht="16" x14ac:dyDescent="0.2">
      <c r="A16" s="12" t="s">
        <v>28</v>
      </c>
      <c r="B16" s="10" t="s">
        <v>26</v>
      </c>
      <c r="C16" s="9">
        <v>2.2185756699999999</v>
      </c>
      <c r="D16" s="9">
        <v>3.1260000000000003E-2</v>
      </c>
      <c r="E16" s="9">
        <v>1.1299999999999999</v>
      </c>
      <c r="F16" s="9">
        <v>1.1299999999999999</v>
      </c>
      <c r="G16" s="9">
        <v>1209</v>
      </c>
      <c r="H16" s="10" t="s">
        <v>29</v>
      </c>
      <c r="I16" s="11">
        <v>5052</v>
      </c>
      <c r="J16" s="9">
        <v>0.75</v>
      </c>
      <c r="K16" s="9">
        <v>0.79</v>
      </c>
      <c r="L16" s="9">
        <v>-0.02</v>
      </c>
      <c r="M16" s="9">
        <v>4.49</v>
      </c>
      <c r="N16" s="9">
        <v>300.1821223</v>
      </c>
      <c r="O16" s="9">
        <v>22.7097759</v>
      </c>
      <c r="P16" s="9">
        <v>19.7638</v>
      </c>
      <c r="Q16" s="9">
        <v>7.67</v>
      </c>
      <c r="R16" s="9">
        <v>7.41432</v>
      </c>
      <c r="S16" s="1">
        <f t="shared" si="0"/>
        <v>349.61677638948368</v>
      </c>
      <c r="T16" s="1">
        <f t="shared" si="1"/>
        <v>-5</v>
      </c>
      <c r="V16" s="9"/>
      <c r="Z16" s="9"/>
      <c r="AA16" s="9"/>
    </row>
    <row r="17" spans="1:21" x14ac:dyDescent="0.2">
      <c r="A17" s="1" t="s">
        <v>50</v>
      </c>
      <c r="B17" s="1" t="s">
        <v>20</v>
      </c>
      <c r="C17" s="1">
        <v>3.3089580000000001</v>
      </c>
      <c r="D17" s="1">
        <v>5.2080000000000001E-2</v>
      </c>
      <c r="E17" s="1">
        <v>1.5449999999999999</v>
      </c>
      <c r="F17" s="1">
        <v>1.0169999999999999</v>
      </c>
      <c r="G17" s="1">
        <v>2132</v>
      </c>
      <c r="I17" s="2">
        <v>6272</v>
      </c>
      <c r="J17" s="1">
        <v>2.5910000000000002</v>
      </c>
      <c r="K17" s="1">
        <v>1.72</v>
      </c>
      <c r="L17" s="1">
        <v>0.3</v>
      </c>
      <c r="M17" s="1">
        <v>3.8479999999999999</v>
      </c>
      <c r="N17" s="1">
        <v>319.6995877</v>
      </c>
      <c r="O17" s="1">
        <v>-26.6163743</v>
      </c>
      <c r="P17" s="1">
        <v>161.49799999999999</v>
      </c>
      <c r="Q17" s="1">
        <v>8.3239999999999998</v>
      </c>
      <c r="R17" s="1">
        <v>8.2268799999999995</v>
      </c>
      <c r="S17" s="1">
        <f t="shared" si="0"/>
        <v>1280.5918535006856</v>
      </c>
      <c r="T17" s="1">
        <f t="shared" si="1"/>
        <v>-5</v>
      </c>
    </row>
    <row r="18" spans="1:21" ht="16" x14ac:dyDescent="0.2">
      <c r="A18" s="10" t="s">
        <v>25</v>
      </c>
      <c r="B18" s="10" t="s">
        <v>26</v>
      </c>
      <c r="C18" s="9">
        <v>3.5247485900000002</v>
      </c>
      <c r="D18" s="9">
        <v>4.7070000000000001E-2</v>
      </c>
      <c r="E18" s="9">
        <v>1.39</v>
      </c>
      <c r="F18" s="9">
        <v>0.73</v>
      </c>
      <c r="G18" s="9">
        <v>1459</v>
      </c>
      <c r="H18" s="10" t="s">
        <v>27</v>
      </c>
      <c r="I18" s="11">
        <v>6091</v>
      </c>
      <c r="J18" s="9">
        <v>1.19</v>
      </c>
      <c r="K18" s="9">
        <v>1.23</v>
      </c>
      <c r="L18" s="9">
        <v>0.01</v>
      </c>
      <c r="M18" s="9">
        <v>4.45</v>
      </c>
      <c r="N18" s="9">
        <v>330.79502189999999</v>
      </c>
      <c r="O18" s="9">
        <v>18.884241899999999</v>
      </c>
      <c r="P18" s="9">
        <v>48.301600000000001</v>
      </c>
      <c r="Q18" s="9">
        <v>7.65</v>
      </c>
      <c r="R18" s="9">
        <v>7.5086599999999999</v>
      </c>
      <c r="S18" s="1">
        <f t="shared" si="0"/>
        <v>988.21070019970352</v>
      </c>
      <c r="T18" s="1">
        <f t="shared" si="1"/>
        <v>-5</v>
      </c>
    </row>
    <row r="19" spans="1:21" x14ac:dyDescent="0.2">
      <c r="A19" s="1" t="s">
        <v>101</v>
      </c>
      <c r="B19" s="1" t="s">
        <v>20</v>
      </c>
      <c r="C19" s="1">
        <v>6.0344680000000004</v>
      </c>
      <c r="D19" s="1">
        <v>6.3560000000000005E-2</v>
      </c>
      <c r="E19" s="1">
        <v>0.437</v>
      </c>
      <c r="F19" s="1">
        <v>5.5E-2</v>
      </c>
      <c r="G19" s="1">
        <v>1076</v>
      </c>
      <c r="H19" s="1" t="s">
        <v>94</v>
      </c>
      <c r="I19" s="2">
        <v>5540</v>
      </c>
      <c r="J19" s="1">
        <v>1.0589999999999999</v>
      </c>
      <c r="K19" s="1">
        <v>1.02</v>
      </c>
      <c r="L19" s="1">
        <v>0.04</v>
      </c>
      <c r="M19" s="1">
        <v>4.4000000000000004</v>
      </c>
      <c r="N19" s="1">
        <v>349.55926649999998</v>
      </c>
      <c r="O19" s="1">
        <v>-56.9039857</v>
      </c>
      <c r="P19" s="1">
        <v>94.171899999999994</v>
      </c>
      <c r="Q19" s="1">
        <v>9.8089999999999993</v>
      </c>
      <c r="R19" s="1">
        <v>9.6495599999999992</v>
      </c>
      <c r="S19" s="1">
        <f t="shared" si="0"/>
        <v>956.09264119622901</v>
      </c>
      <c r="T19" s="1">
        <f t="shared" si="1"/>
        <v>-5</v>
      </c>
    </row>
    <row r="20" spans="1:21" x14ac:dyDescent="0.2">
      <c r="A20" s="1" t="s">
        <v>44</v>
      </c>
      <c r="B20" s="1" t="s">
        <v>20</v>
      </c>
      <c r="C20" s="1">
        <v>14.2767</v>
      </c>
      <c r="D20" s="1">
        <v>0.12280000000000001</v>
      </c>
      <c r="E20" s="1">
        <v>0.83599999999999997</v>
      </c>
      <c r="F20" s="1">
        <v>0.19</v>
      </c>
      <c r="G20" s="1">
        <v>789.15</v>
      </c>
      <c r="H20" s="1" t="s">
        <v>45</v>
      </c>
      <c r="I20" s="2">
        <v>5080</v>
      </c>
      <c r="J20" s="1">
        <v>2.9430000000000001</v>
      </c>
      <c r="K20" s="1">
        <v>1.212</v>
      </c>
      <c r="L20" s="1">
        <v>-0.08</v>
      </c>
      <c r="M20" s="1">
        <v>3.5840000000000001</v>
      </c>
      <c r="N20" s="1">
        <v>353.03318630000001</v>
      </c>
      <c r="O20" s="1">
        <v>-21.801200699999999</v>
      </c>
      <c r="P20" s="1">
        <v>95.548299999999998</v>
      </c>
      <c r="Q20" s="1">
        <v>8.15</v>
      </c>
      <c r="R20" s="1">
        <v>7.9077599999999997</v>
      </c>
      <c r="S20" s="1">
        <f t="shared" si="0"/>
        <v>742.8583931109747</v>
      </c>
      <c r="T20" s="1">
        <f t="shared" si="1"/>
        <v>-5</v>
      </c>
    </row>
    <row r="21" spans="1:21" x14ac:dyDescent="0.2">
      <c r="A21" s="1" t="s">
        <v>86</v>
      </c>
      <c r="B21" s="1" t="s">
        <v>20</v>
      </c>
      <c r="C21" s="1">
        <v>4.1268799999999999</v>
      </c>
      <c r="D21" s="1">
        <v>5.6800000000000003E-2</v>
      </c>
      <c r="E21" s="1">
        <v>1.44</v>
      </c>
      <c r="F21" s="1">
        <v>1.17</v>
      </c>
      <c r="G21" s="1">
        <v>2061</v>
      </c>
      <c r="I21" s="2">
        <v>6801</v>
      </c>
      <c r="J21" s="1">
        <v>1.56</v>
      </c>
      <c r="K21" s="1">
        <v>1.43</v>
      </c>
      <c r="L21" s="1">
        <v>0.02</v>
      </c>
      <c r="M21" s="1">
        <v>4.21</v>
      </c>
      <c r="N21" s="1">
        <v>7.3289156000000002</v>
      </c>
      <c r="O21" s="1">
        <v>-76.304032000000007</v>
      </c>
      <c r="P21" s="1">
        <v>196.852</v>
      </c>
      <c r="Q21" s="1">
        <v>9.5950000000000006</v>
      </c>
      <c r="R21" s="1">
        <v>9.5202500000000008</v>
      </c>
      <c r="S21" s="1">
        <f t="shared" si="0"/>
        <v>934.76971602454307</v>
      </c>
      <c r="T21" s="1">
        <f t="shared" si="1"/>
        <v>-7</v>
      </c>
      <c r="U21" s="3" t="s">
        <v>137</v>
      </c>
    </row>
    <row r="22" spans="1:21" x14ac:dyDescent="0.2">
      <c r="A22" s="1" t="s">
        <v>53</v>
      </c>
      <c r="B22" s="1" t="s">
        <v>20</v>
      </c>
      <c r="C22" s="1">
        <v>18.712024</v>
      </c>
      <c r="D22" s="1">
        <v>0.14499999999999999</v>
      </c>
      <c r="E22" s="1">
        <v>0.80944318999999998</v>
      </c>
      <c r="F22" s="1">
        <v>0.23314467</v>
      </c>
      <c r="G22" s="1">
        <v>798.3</v>
      </c>
      <c r="H22" s="1" t="s">
        <v>54</v>
      </c>
      <c r="I22" s="2">
        <v>6128</v>
      </c>
      <c r="J22" s="1">
        <v>1.266</v>
      </c>
      <c r="K22" s="1">
        <v>1.1641999999999999</v>
      </c>
      <c r="L22" s="1">
        <v>4.2999999999999997E-2</v>
      </c>
      <c r="M22" s="1">
        <v>4.2960000000000003</v>
      </c>
      <c r="N22" s="1">
        <v>306.74113399999999</v>
      </c>
      <c r="O22" s="1">
        <v>33.744388200000003</v>
      </c>
      <c r="P22" s="1">
        <v>80.666499999999999</v>
      </c>
      <c r="Q22" s="1">
        <v>8.5579999999999998</v>
      </c>
      <c r="R22" s="1">
        <v>8.4183900000000005</v>
      </c>
      <c r="S22" s="1">
        <f t="shared" si="0"/>
        <v>574.11765847468712</v>
      </c>
      <c r="T22" s="1">
        <f t="shared" si="1"/>
        <v>-5</v>
      </c>
    </row>
    <row r="23" spans="1:21" ht="16" x14ac:dyDescent="0.2">
      <c r="A23" s="10" t="s">
        <v>32</v>
      </c>
      <c r="B23" s="10" t="s">
        <v>26</v>
      </c>
      <c r="C23" s="9">
        <v>3.4148839999999998</v>
      </c>
      <c r="D23" s="9">
        <v>4.7899999999999998E-2</v>
      </c>
      <c r="E23" s="9">
        <v>1.23</v>
      </c>
      <c r="F23" s="9">
        <v>1.02</v>
      </c>
      <c r="G23" s="1">
        <v>1762</v>
      </c>
      <c r="H23" s="10" t="s">
        <v>33</v>
      </c>
      <c r="I23" s="11">
        <v>5392</v>
      </c>
      <c r="J23" s="9">
        <v>2.2000000000000002</v>
      </c>
      <c r="K23" s="9">
        <v>1.26</v>
      </c>
      <c r="L23" s="9">
        <v>0.34</v>
      </c>
      <c r="M23" s="9">
        <v>3.88</v>
      </c>
      <c r="N23" s="9">
        <v>152.53193490000001</v>
      </c>
      <c r="O23" s="9">
        <v>18.185728399999999</v>
      </c>
      <c r="P23" s="9">
        <v>73.612300000000005</v>
      </c>
      <c r="Q23" s="9">
        <v>8.0185200000000005</v>
      </c>
      <c r="R23" s="9">
        <v>7.8097899999999996</v>
      </c>
      <c r="S23" s="1">
        <f t="shared" si="0"/>
        <v>668.81110409377118</v>
      </c>
      <c r="T23" s="1">
        <f t="shared" si="1"/>
        <v>-5</v>
      </c>
    </row>
    <row r="24" spans="1:21" x14ac:dyDescent="0.2">
      <c r="A24" s="1" t="s">
        <v>75</v>
      </c>
      <c r="B24" s="1" t="s">
        <v>20</v>
      </c>
      <c r="C24" s="1">
        <v>11.814299999999999</v>
      </c>
      <c r="D24" s="1">
        <v>0.1066</v>
      </c>
      <c r="E24" s="1">
        <v>0.66</v>
      </c>
      <c r="F24" s="1">
        <v>0.11</v>
      </c>
      <c r="G24" s="1">
        <v>1089</v>
      </c>
      <c r="H24" s="1" t="s">
        <v>33</v>
      </c>
      <c r="I24" s="2">
        <v>5576</v>
      </c>
      <c r="J24" s="1">
        <v>1.7470000000000001</v>
      </c>
      <c r="K24" s="1">
        <v>1.157</v>
      </c>
      <c r="L24" s="1">
        <v>0.42099999999999999</v>
      </c>
      <c r="M24" s="1">
        <v>4.016</v>
      </c>
      <c r="N24" s="1">
        <v>154.67109769999999</v>
      </c>
      <c r="O24" s="1">
        <v>10.1288464</v>
      </c>
      <c r="P24" s="1">
        <v>132.345</v>
      </c>
      <c r="Q24" s="1">
        <v>9.3800000000000008</v>
      </c>
      <c r="R24" s="1">
        <v>9.2170199999999998</v>
      </c>
      <c r="S24" s="1">
        <f t="shared" si="0"/>
        <v>1103.5971886171305</v>
      </c>
      <c r="T24" s="1">
        <f t="shared" si="1"/>
        <v>-5</v>
      </c>
    </row>
    <row r="25" spans="1:21" x14ac:dyDescent="0.2">
      <c r="A25" s="1" t="s">
        <v>104</v>
      </c>
      <c r="B25" s="1" t="s">
        <v>20</v>
      </c>
      <c r="C25" s="1">
        <v>11.168454000000001</v>
      </c>
      <c r="D25" s="1">
        <v>0.10356</v>
      </c>
      <c r="E25" s="1">
        <v>1</v>
      </c>
      <c r="F25" s="1">
        <v>0.39800000000000002</v>
      </c>
      <c r="G25" s="1">
        <v>1030</v>
      </c>
      <c r="I25" s="2">
        <v>6154</v>
      </c>
      <c r="J25" s="1">
        <v>1.161</v>
      </c>
      <c r="K25" s="1">
        <v>1.1879999999999999</v>
      </c>
      <c r="L25" s="1">
        <v>0.1</v>
      </c>
      <c r="M25" s="1">
        <v>4.3789999999999996</v>
      </c>
      <c r="N25" s="1">
        <v>73.766792699999996</v>
      </c>
      <c r="O25" s="1">
        <v>18.654323000000002</v>
      </c>
      <c r="P25" s="1">
        <v>130.72</v>
      </c>
      <c r="Q25" s="1">
        <v>9.8219999999999992</v>
      </c>
      <c r="R25" s="1">
        <v>9.7262599999999999</v>
      </c>
      <c r="S25" s="1">
        <f t="shared" si="0"/>
        <v>662.28004924519439</v>
      </c>
      <c r="T25" s="1">
        <f t="shared" si="1"/>
        <v>-5</v>
      </c>
    </row>
    <row r="26" spans="1:21" x14ac:dyDescent="0.2">
      <c r="A26" s="1" t="s">
        <v>36</v>
      </c>
      <c r="B26" s="1" t="s">
        <v>20</v>
      </c>
      <c r="C26" s="1">
        <v>4.73620865</v>
      </c>
      <c r="D26" s="1">
        <v>6.2300000000000001E-2</v>
      </c>
      <c r="E26" s="1">
        <v>1.35</v>
      </c>
      <c r="F26" s="1">
        <v>0.20499999999999999</v>
      </c>
      <c r="G26" s="1">
        <v>1712</v>
      </c>
      <c r="H26" s="1" t="s">
        <v>37</v>
      </c>
      <c r="I26" s="2">
        <v>5375</v>
      </c>
      <c r="J26" s="1">
        <v>2.69</v>
      </c>
      <c r="K26" s="1">
        <v>1.44</v>
      </c>
      <c r="L26" s="1">
        <v>0.17</v>
      </c>
      <c r="M26" s="1">
        <v>3.7</v>
      </c>
      <c r="N26" s="1">
        <v>161.70690529999999</v>
      </c>
      <c r="O26" s="1">
        <v>-9.3993646000000002</v>
      </c>
      <c r="P26" s="1">
        <v>99.159599999999998</v>
      </c>
      <c r="Q26" s="1">
        <v>8.0399999999999991</v>
      </c>
      <c r="R26" s="1">
        <v>7.8311200000000003</v>
      </c>
      <c r="S26" s="1">
        <f t="shared" si="0"/>
        <v>3894.9775251994533</v>
      </c>
      <c r="T26" s="1">
        <f t="shared" si="1"/>
        <v>-5</v>
      </c>
    </row>
    <row r="27" spans="1:21" x14ac:dyDescent="0.2">
      <c r="A27" s="1" t="s">
        <v>67</v>
      </c>
      <c r="B27" s="1" t="s">
        <v>20</v>
      </c>
      <c r="C27" s="1">
        <v>3.0801715999999999</v>
      </c>
      <c r="D27" s="1">
        <v>4.8809999999999999E-2</v>
      </c>
      <c r="E27" s="1">
        <v>1.5249999999999999</v>
      </c>
      <c r="F27" s="1">
        <v>1.31</v>
      </c>
      <c r="G27" s="1">
        <v>2087</v>
      </c>
      <c r="H27" s="1" t="s">
        <v>41</v>
      </c>
      <c r="I27" s="2">
        <v>7454</v>
      </c>
      <c r="J27" s="1">
        <v>1.645</v>
      </c>
      <c r="K27" s="1">
        <v>1.635</v>
      </c>
      <c r="L27" s="1">
        <v>-1.7999999999999999E-2</v>
      </c>
      <c r="M27" s="1">
        <v>4.22</v>
      </c>
      <c r="N27" s="1">
        <v>125.617407</v>
      </c>
      <c r="O27" s="1">
        <v>13.735309300000001</v>
      </c>
      <c r="P27" s="1">
        <v>226.5</v>
      </c>
      <c r="Q27" s="1">
        <v>9.234</v>
      </c>
      <c r="R27" s="1">
        <v>9.2088699999999992</v>
      </c>
      <c r="S27" s="1">
        <f t="shared" si="0"/>
        <v>948.15286253702118</v>
      </c>
      <c r="T27" s="1">
        <f t="shared" si="1"/>
        <v>-7</v>
      </c>
    </row>
    <row r="28" spans="1:21" x14ac:dyDescent="0.2">
      <c r="A28" s="1" t="s">
        <v>109</v>
      </c>
      <c r="B28" s="1" t="s">
        <v>20</v>
      </c>
      <c r="C28" s="1">
        <v>4.6117093000000002</v>
      </c>
      <c r="D28" s="1">
        <v>6.3700000000000007E-2</v>
      </c>
      <c r="E28" s="1">
        <v>1.91</v>
      </c>
      <c r="F28" s="1">
        <v>4.07</v>
      </c>
      <c r="G28" s="1">
        <v>1935</v>
      </c>
      <c r="H28" s="1" t="s">
        <v>110</v>
      </c>
      <c r="I28" s="2">
        <v>7500</v>
      </c>
      <c r="J28" s="1">
        <v>1.83</v>
      </c>
      <c r="K28" s="1">
        <v>1.62</v>
      </c>
      <c r="L28" s="1">
        <v>-0.12</v>
      </c>
      <c r="M28" s="1">
        <v>4.1269999999999998</v>
      </c>
      <c r="N28" s="1">
        <v>111.5095293</v>
      </c>
      <c r="O28" s="1">
        <v>7.6157759</v>
      </c>
      <c r="P28" s="1">
        <v>300.27600000000001</v>
      </c>
      <c r="Q28" s="1">
        <v>9.8569999999999993</v>
      </c>
      <c r="R28" s="1">
        <v>9.8633100000000002</v>
      </c>
      <c r="S28" s="1">
        <f t="shared" si="0"/>
        <v>443.85469120292152</v>
      </c>
      <c r="T28" s="1">
        <f t="shared" si="1"/>
        <v>-7</v>
      </c>
    </row>
    <row r="29" spans="1:21" x14ac:dyDescent="0.2">
      <c r="A29" s="1" t="s">
        <v>57</v>
      </c>
      <c r="B29" s="1" t="s">
        <v>20</v>
      </c>
      <c r="C29" s="1">
        <v>4.1137899999999998</v>
      </c>
      <c r="D29" s="1">
        <v>5.4969999999999998E-2</v>
      </c>
      <c r="E29" s="1">
        <v>1.35</v>
      </c>
      <c r="F29" s="1">
        <v>1.7</v>
      </c>
      <c r="G29" s="1">
        <v>2080</v>
      </c>
      <c r="H29" s="1" t="s">
        <v>54</v>
      </c>
      <c r="I29" s="2">
        <v>6327</v>
      </c>
      <c r="J29" s="1">
        <v>1.93</v>
      </c>
      <c r="K29" s="1">
        <v>1.54</v>
      </c>
      <c r="L29" s="1">
        <v>0</v>
      </c>
      <c r="M29" s="1">
        <v>4.5</v>
      </c>
      <c r="N29" s="1">
        <v>92.664022599999996</v>
      </c>
      <c r="O29" s="1">
        <v>30.957133299999999</v>
      </c>
      <c r="P29" s="1">
        <v>134.05799999999999</v>
      </c>
      <c r="Q29" s="1">
        <v>8.68</v>
      </c>
      <c r="R29" s="1">
        <v>8.5839300000000005</v>
      </c>
      <c r="S29" s="1">
        <f t="shared" si="0"/>
        <v>570.64953846380126</v>
      </c>
      <c r="T29" s="1">
        <f t="shared" si="1"/>
        <v>-5</v>
      </c>
    </row>
    <row r="30" spans="1:21" x14ac:dyDescent="0.2">
      <c r="A30" s="3" t="s">
        <v>23</v>
      </c>
      <c r="B30" s="1" t="s">
        <v>20</v>
      </c>
      <c r="C30" s="1">
        <v>3.4741084999999998</v>
      </c>
      <c r="D30" s="1">
        <v>5.4199999999999998E-2</v>
      </c>
      <c r="E30" s="1">
        <v>1.7410000000000001</v>
      </c>
      <c r="F30" s="1">
        <v>3.3820000000000001</v>
      </c>
      <c r="G30" s="1">
        <v>2262</v>
      </c>
      <c r="H30" s="1" t="s">
        <v>24</v>
      </c>
      <c r="I30" s="2">
        <v>8720</v>
      </c>
      <c r="J30" s="1">
        <v>1.5649999999999999</v>
      </c>
      <c r="K30" s="1">
        <v>1.76</v>
      </c>
      <c r="L30" s="1">
        <v>-0.28999999999999998</v>
      </c>
      <c r="M30" s="1">
        <v>4.29</v>
      </c>
      <c r="N30" s="1">
        <v>294.66141260000001</v>
      </c>
      <c r="O30" s="1">
        <v>31.219200099999998</v>
      </c>
      <c r="P30" s="1">
        <v>136.42599999999999</v>
      </c>
      <c r="Q30" s="1">
        <v>7.59</v>
      </c>
      <c r="R30" s="1">
        <v>7.5749199999999997</v>
      </c>
      <c r="S30" s="1">
        <f t="shared" si="0"/>
        <v>518.80488815900412</v>
      </c>
      <c r="T30" s="1">
        <f t="shared" si="1"/>
        <v>-7</v>
      </c>
    </row>
    <row r="31" spans="1:21" x14ac:dyDescent="0.2">
      <c r="A31" s="1" t="s">
        <v>51</v>
      </c>
      <c r="B31" s="1" t="s">
        <v>20</v>
      </c>
      <c r="C31" s="1">
        <v>5.55149296</v>
      </c>
      <c r="D31" s="1">
        <v>6.6500000000000004E-2</v>
      </c>
      <c r="E31" s="1">
        <v>1.1339999999999999</v>
      </c>
      <c r="F31" s="1">
        <v>4.59</v>
      </c>
      <c r="G31" s="1">
        <v>1391</v>
      </c>
      <c r="H31" s="1" t="s">
        <v>52</v>
      </c>
      <c r="I31" s="2">
        <v>6426</v>
      </c>
      <c r="J31" s="1">
        <v>1.3380000000000001</v>
      </c>
      <c r="K31" s="1">
        <v>1.268</v>
      </c>
      <c r="L31" s="1">
        <v>0.13800000000000001</v>
      </c>
      <c r="M31" s="1">
        <v>4.2869999999999999</v>
      </c>
      <c r="N31" s="1">
        <v>161.90902729999999</v>
      </c>
      <c r="O31" s="1">
        <v>71.655726999999999</v>
      </c>
      <c r="P31" s="1">
        <v>96.517300000000006</v>
      </c>
      <c r="Q31" s="1">
        <v>8.34</v>
      </c>
      <c r="R31" s="1">
        <v>8.23752</v>
      </c>
      <c r="S31" s="1">
        <f t="shared" si="0"/>
        <v>99.730517672190274</v>
      </c>
      <c r="T31" s="1">
        <f t="shared" si="1"/>
        <v>-5</v>
      </c>
    </row>
    <row r="32" spans="1:21" x14ac:dyDescent="0.2">
      <c r="A32" s="1" t="s">
        <v>103</v>
      </c>
      <c r="B32" s="1" t="s">
        <v>20</v>
      </c>
      <c r="C32" s="1">
        <v>2.7033900000000002</v>
      </c>
      <c r="D32" s="1">
        <v>4.1230000000000003E-2</v>
      </c>
      <c r="E32" s="1">
        <v>1.56</v>
      </c>
      <c r="F32" s="1">
        <v>1.94</v>
      </c>
      <c r="G32" s="1">
        <v>1816</v>
      </c>
      <c r="I32" s="2">
        <v>6304</v>
      </c>
      <c r="J32" s="1">
        <v>1.7</v>
      </c>
      <c r="K32" s="1">
        <v>1.96</v>
      </c>
      <c r="L32" s="1">
        <v>0.05</v>
      </c>
      <c r="M32" s="1">
        <v>4.2</v>
      </c>
      <c r="N32" s="1">
        <v>148.6431193</v>
      </c>
      <c r="O32" s="1">
        <v>40.387944599999997</v>
      </c>
      <c r="P32" s="1">
        <v>210.25200000000001</v>
      </c>
      <c r="Q32" s="1">
        <v>9.8160000000000007</v>
      </c>
      <c r="R32" s="1">
        <v>9.7632399999999997</v>
      </c>
      <c r="S32" s="1">
        <f t="shared" si="0"/>
        <v>582.97620763372299</v>
      </c>
      <c r="T32" s="1">
        <f t="shared" si="1"/>
        <v>-5</v>
      </c>
    </row>
    <row r="33" spans="1:21" x14ac:dyDescent="0.2">
      <c r="A33" s="1" t="s">
        <v>123</v>
      </c>
      <c r="B33" s="1" t="s">
        <v>20</v>
      </c>
      <c r="C33" s="1">
        <v>2.9895931999999998</v>
      </c>
      <c r="D33" s="1">
        <v>4.317E-2</v>
      </c>
      <c r="E33" s="1">
        <v>1.6990000000000001</v>
      </c>
      <c r="F33" s="1">
        <v>0.90200000000000002</v>
      </c>
      <c r="G33" s="1">
        <v>1823</v>
      </c>
      <c r="H33" s="1" t="s">
        <v>56</v>
      </c>
      <c r="I33" s="2">
        <v>6206</v>
      </c>
      <c r="J33" s="1">
        <v>1.603</v>
      </c>
      <c r="K33" s="1">
        <v>1.2010000000000001</v>
      </c>
      <c r="L33" s="1">
        <v>-0.11600000000000001</v>
      </c>
      <c r="M33" s="1">
        <v>4.1079999999999997</v>
      </c>
      <c r="N33" s="1">
        <v>157.06262000000001</v>
      </c>
      <c r="O33" s="1">
        <v>25.573136600000002</v>
      </c>
      <c r="P33" s="1">
        <v>218.05</v>
      </c>
      <c r="Q33" s="1">
        <v>9.98</v>
      </c>
      <c r="R33" s="1">
        <v>9.95702</v>
      </c>
      <c r="S33" s="1">
        <f t="shared" si="0"/>
        <v>1492.9814393090719</v>
      </c>
      <c r="T33" s="1">
        <f t="shared" si="1"/>
        <v>-5</v>
      </c>
    </row>
    <row r="34" spans="1:21" x14ac:dyDescent="0.2">
      <c r="A34" s="1" t="s">
        <v>55</v>
      </c>
      <c r="B34" s="1" t="s">
        <v>20</v>
      </c>
      <c r="C34" s="1">
        <v>2.7347700000000001</v>
      </c>
      <c r="D34" s="1">
        <v>4.4150000000000002E-2</v>
      </c>
      <c r="E34" s="1">
        <v>1.6</v>
      </c>
      <c r="F34" s="1">
        <v>1.39</v>
      </c>
      <c r="G34" s="1">
        <v>2048</v>
      </c>
      <c r="H34" s="1" t="s">
        <v>56</v>
      </c>
      <c r="I34" s="2">
        <v>6768</v>
      </c>
      <c r="J34" s="1">
        <v>1.81</v>
      </c>
      <c r="K34" s="1">
        <v>1.76</v>
      </c>
      <c r="L34" s="1">
        <v>0</v>
      </c>
      <c r="M34" s="1">
        <v>4.5</v>
      </c>
      <c r="N34" s="1">
        <v>78.295591200000004</v>
      </c>
      <c r="O34" s="1">
        <v>33.317953199999998</v>
      </c>
      <c r="P34" s="1">
        <v>136.68100000000001</v>
      </c>
      <c r="Q34" s="1">
        <v>8.56</v>
      </c>
      <c r="R34" s="1">
        <v>8.4517299999999995</v>
      </c>
      <c r="S34" s="1">
        <f t="shared" si="0"/>
        <v>965.25628287035329</v>
      </c>
      <c r="T34" s="1">
        <f t="shared" si="1"/>
        <v>-5</v>
      </c>
    </row>
    <row r="35" spans="1:21" x14ac:dyDescent="0.2">
      <c r="A35" s="3" t="s">
        <v>21</v>
      </c>
      <c r="B35" s="13" t="s">
        <v>20</v>
      </c>
      <c r="C35" s="13">
        <v>1.4811235</v>
      </c>
      <c r="D35" s="13">
        <v>3.4619999999999998E-2</v>
      </c>
      <c r="E35" s="13">
        <v>1.891</v>
      </c>
      <c r="F35" s="13">
        <v>2.88</v>
      </c>
      <c r="G35" s="13">
        <v>4050</v>
      </c>
      <c r="H35" s="13" t="s">
        <v>144</v>
      </c>
      <c r="I35" s="14">
        <v>10170.1</v>
      </c>
      <c r="J35" s="13">
        <v>2.3620000000000001</v>
      </c>
      <c r="K35" s="13">
        <v>2.52</v>
      </c>
      <c r="L35" s="13">
        <v>-0.03</v>
      </c>
      <c r="M35" s="13">
        <v>4.093</v>
      </c>
      <c r="N35" s="13">
        <v>307.85989979999999</v>
      </c>
      <c r="O35" s="13">
        <v>39.9389161</v>
      </c>
      <c r="P35" s="13">
        <v>204.45500000000001</v>
      </c>
      <c r="Q35" s="13">
        <v>7.55</v>
      </c>
      <c r="R35" s="13">
        <v>7.5767499999999997</v>
      </c>
      <c r="S35" s="13">
        <f t="shared" si="0"/>
        <v>1286.8653667451285</v>
      </c>
      <c r="U35" s="3" t="s">
        <v>137</v>
      </c>
    </row>
    <row r="36" spans="1:21" x14ac:dyDescent="0.2">
      <c r="A36" s="8" t="s">
        <v>142</v>
      </c>
      <c r="I36" s="5">
        <v>7433.197265625</v>
      </c>
      <c r="J36" s="6"/>
      <c r="M36" s="6"/>
      <c r="N36" s="6">
        <v>286.97138676797078</v>
      </c>
      <c r="O36" s="6">
        <v>46.868244058307063</v>
      </c>
      <c r="Q36" s="6">
        <v>10.382340431213381</v>
      </c>
      <c r="R36" s="6">
        <v>10.382340431213381</v>
      </c>
    </row>
    <row r="37" spans="1:21" x14ac:dyDescent="0.2">
      <c r="A37" s="1" t="s">
        <v>100</v>
      </c>
      <c r="B37" s="1" t="s">
        <v>20</v>
      </c>
      <c r="C37" s="1">
        <v>1.7635879999999999</v>
      </c>
      <c r="D37" s="1">
        <v>3.6409999999999998E-2</v>
      </c>
      <c r="E37" s="1">
        <v>1.512</v>
      </c>
      <c r="F37" s="1">
        <v>9.2799999999999994</v>
      </c>
      <c r="G37" s="1">
        <v>2550</v>
      </c>
      <c r="I37" s="2">
        <v>7650</v>
      </c>
      <c r="J37" s="1">
        <v>1.74</v>
      </c>
      <c r="K37" s="1">
        <v>1.72</v>
      </c>
      <c r="L37" s="1">
        <v>0.2</v>
      </c>
      <c r="M37" s="1">
        <v>4.2</v>
      </c>
      <c r="N37" s="1">
        <v>286.97138760000001</v>
      </c>
      <c r="O37" s="1">
        <v>46.868246300000003</v>
      </c>
      <c r="P37" s="1">
        <v>519.096</v>
      </c>
      <c r="Q37" s="1">
        <v>9.7910000000000004</v>
      </c>
      <c r="R37" s="1">
        <v>10.367800000000001</v>
      </c>
      <c r="S37" s="1">
        <f t="shared" ref="S37:S63" si="2">(0.000000000000000138*G37/(1.673534E-24*1.3*0.000000066726*F37*1.8986E+30/(E37*7149200000)^2))/100000</f>
        <v>160.76196513632402</v>
      </c>
      <c r="T37" s="1">
        <f t="shared" ref="T37:T63" si="3">IF(I37&gt;6800,-7,-5)</f>
        <v>-7</v>
      </c>
    </row>
    <row r="38" spans="1:21" x14ac:dyDescent="0.2">
      <c r="A38" s="1" t="s">
        <v>98</v>
      </c>
      <c r="B38" s="1" t="s">
        <v>20</v>
      </c>
      <c r="C38" s="1">
        <v>0.79205199999999998</v>
      </c>
      <c r="D38" s="1">
        <v>1.6789999999999999E-2</v>
      </c>
      <c r="E38" s="1">
        <v>0.42109020000000003</v>
      </c>
      <c r="F38" s="1">
        <v>9.2250570000000004E-2</v>
      </c>
      <c r="G38" s="1">
        <v>1978</v>
      </c>
      <c r="H38" s="1" t="s">
        <v>99</v>
      </c>
      <c r="I38" s="2">
        <v>5443</v>
      </c>
      <c r="J38" s="1">
        <v>0.94899999999999995</v>
      </c>
      <c r="K38" s="1">
        <v>1.02</v>
      </c>
      <c r="L38" s="1">
        <v>0.27</v>
      </c>
      <c r="M38" s="1">
        <v>4.3499999999999996</v>
      </c>
      <c r="N38" s="1">
        <v>358.6688767</v>
      </c>
      <c r="O38" s="1">
        <v>-37.628223699999999</v>
      </c>
      <c r="P38" s="1">
        <v>80.437299999999993</v>
      </c>
      <c r="Q38" s="1">
        <v>9.7899999999999991</v>
      </c>
      <c r="R38" s="1">
        <v>9.6000599999999991</v>
      </c>
      <c r="S38" s="1">
        <f t="shared" si="2"/>
        <v>972.96006983022733</v>
      </c>
      <c r="T38" s="1">
        <f t="shared" si="3"/>
        <v>-5</v>
      </c>
    </row>
    <row r="39" spans="1:21" x14ac:dyDescent="0.2">
      <c r="A39" s="1" t="s">
        <v>48</v>
      </c>
      <c r="B39" s="1" t="s">
        <v>20</v>
      </c>
      <c r="C39" s="1">
        <v>2.1487738099999998</v>
      </c>
      <c r="D39" s="1">
        <v>4.0351999999999999E-2</v>
      </c>
      <c r="E39" s="1">
        <v>1.597</v>
      </c>
      <c r="F39" s="1">
        <v>3.7</v>
      </c>
      <c r="G39" s="1">
        <v>2594.3000000000002</v>
      </c>
      <c r="H39" s="1" t="s">
        <v>49</v>
      </c>
      <c r="I39" s="2">
        <v>7490</v>
      </c>
      <c r="J39" s="1">
        <v>2.0819999999999999</v>
      </c>
      <c r="K39" s="1">
        <v>1.9</v>
      </c>
      <c r="L39" s="1">
        <v>0.15</v>
      </c>
      <c r="M39" s="1">
        <v>4.1050000000000004</v>
      </c>
      <c r="N39" s="1">
        <v>317.5515264</v>
      </c>
      <c r="O39" s="1">
        <v>10.7388967</v>
      </c>
      <c r="P39" s="1">
        <v>182.273</v>
      </c>
      <c r="Q39" s="1">
        <v>8.2799999999999994</v>
      </c>
      <c r="R39" s="1">
        <v>8.2424300000000006</v>
      </c>
      <c r="S39" s="1">
        <f t="shared" si="2"/>
        <v>457.63140850776114</v>
      </c>
      <c r="T39" s="1">
        <f t="shared" si="3"/>
        <v>-7</v>
      </c>
    </row>
    <row r="40" spans="1:21" x14ac:dyDescent="0.2">
      <c r="A40" s="1" t="s">
        <v>46</v>
      </c>
      <c r="B40" s="1" t="s">
        <v>20</v>
      </c>
      <c r="C40" s="1">
        <v>2.8240932000000001</v>
      </c>
      <c r="D40" s="1">
        <v>4.7399999999999998E-2</v>
      </c>
      <c r="E40" s="1">
        <v>1.5149999999999999</v>
      </c>
      <c r="F40" s="1">
        <v>1.675</v>
      </c>
      <c r="G40" s="1">
        <v>2250</v>
      </c>
      <c r="H40" s="1" t="s">
        <v>47</v>
      </c>
      <c r="I40" s="2">
        <v>7800</v>
      </c>
      <c r="J40" s="1">
        <v>1.79</v>
      </c>
      <c r="K40" s="1">
        <v>1.75</v>
      </c>
      <c r="L40" s="1">
        <v>0</v>
      </c>
      <c r="M40" s="1">
        <v>4.0999999999999996</v>
      </c>
      <c r="N40" s="1">
        <v>147.5800667</v>
      </c>
      <c r="O40" s="1">
        <v>-66.113925300000005</v>
      </c>
      <c r="P40" s="1">
        <v>170.696</v>
      </c>
      <c r="Q40" s="1">
        <v>8.1910000000000007</v>
      </c>
      <c r="R40" s="1">
        <v>8.1740100000000009</v>
      </c>
      <c r="S40" s="1">
        <f t="shared" si="2"/>
        <v>789.006338593706</v>
      </c>
      <c r="T40" s="1">
        <f t="shared" si="3"/>
        <v>-7</v>
      </c>
    </row>
    <row r="41" spans="1:21" x14ac:dyDescent="0.2">
      <c r="A41" s="3" t="s">
        <v>80</v>
      </c>
      <c r="B41" s="1" t="s">
        <v>20</v>
      </c>
      <c r="C41" s="1">
        <v>16.249210000000001</v>
      </c>
      <c r="D41" s="1">
        <v>0.12909999999999999</v>
      </c>
      <c r="E41" s="1">
        <v>1.087</v>
      </c>
      <c r="F41" s="1">
        <v>4.34</v>
      </c>
      <c r="G41" s="1">
        <v>805.5</v>
      </c>
      <c r="H41" s="1" t="s">
        <v>43</v>
      </c>
      <c r="I41" s="2">
        <v>5756</v>
      </c>
      <c r="J41" s="1">
        <v>1.0860000000000001</v>
      </c>
      <c r="K41" s="1">
        <v>1.0820000000000001</v>
      </c>
      <c r="L41" s="1">
        <v>0.318</v>
      </c>
      <c r="M41" s="1">
        <v>4.4020000000000001</v>
      </c>
      <c r="N41" s="1">
        <v>310.29170019999998</v>
      </c>
      <c r="O41" s="1">
        <v>3.6382967000000002</v>
      </c>
      <c r="P41" s="1">
        <v>93.734499999999997</v>
      </c>
      <c r="Q41" s="1">
        <v>9.48</v>
      </c>
      <c r="R41" s="1">
        <v>9.4290710000000004</v>
      </c>
      <c r="S41" s="1">
        <f t="shared" si="2"/>
        <v>56.120615203365361</v>
      </c>
      <c r="T41" s="1">
        <f t="shared" si="3"/>
        <v>-5</v>
      </c>
      <c r="U41" s="3" t="s">
        <v>137</v>
      </c>
    </row>
    <row r="42" spans="1:21" x14ac:dyDescent="0.2">
      <c r="A42" s="3" t="s">
        <v>84</v>
      </c>
      <c r="B42" s="1" t="s">
        <v>20</v>
      </c>
      <c r="C42" s="1">
        <v>8.0277282999999997</v>
      </c>
      <c r="D42" s="1">
        <v>8.2337403000000003E-2</v>
      </c>
      <c r="E42" s="1">
        <v>0.83243188000000001</v>
      </c>
      <c r="F42" s="1">
        <v>0.16200000000000001</v>
      </c>
      <c r="G42" s="1">
        <v>1074.28</v>
      </c>
      <c r="H42" s="1" t="s">
        <v>43</v>
      </c>
      <c r="I42" s="2">
        <v>5962.7</v>
      </c>
      <c r="J42" s="1">
        <v>1.1499999999999999</v>
      </c>
      <c r="K42" s="1">
        <v>1.156039</v>
      </c>
      <c r="L42" s="1">
        <v>0</v>
      </c>
      <c r="M42" s="1">
        <v>4.38</v>
      </c>
      <c r="N42" s="1">
        <v>193.3963704</v>
      </c>
      <c r="O42" s="1">
        <v>85.129495199999994</v>
      </c>
      <c r="P42" s="1">
        <v>114.048</v>
      </c>
      <c r="Q42" s="1">
        <v>9.5399999999999991</v>
      </c>
      <c r="R42" s="1">
        <v>9.4135299999999997</v>
      </c>
      <c r="S42" s="1">
        <f t="shared" si="2"/>
        <v>1175.9460676296278</v>
      </c>
      <c r="T42" s="1">
        <f t="shared" si="3"/>
        <v>-5</v>
      </c>
    </row>
    <row r="43" spans="1:21" x14ac:dyDescent="0.2">
      <c r="A43" s="1" t="s">
        <v>83</v>
      </c>
      <c r="B43" s="1" t="s">
        <v>20</v>
      </c>
      <c r="C43" s="1">
        <v>12.5199</v>
      </c>
      <c r="D43" s="1">
        <v>0.1062</v>
      </c>
      <c r="E43" s="1">
        <v>0.41279399999999999</v>
      </c>
      <c r="F43" s="1">
        <v>2.627204E-2</v>
      </c>
      <c r="G43" s="1">
        <v>843</v>
      </c>
      <c r="I43" s="2">
        <v>5770</v>
      </c>
      <c r="J43" s="1">
        <v>0.96799999999999997</v>
      </c>
      <c r="K43" s="1">
        <v>1.022</v>
      </c>
      <c r="L43" s="1">
        <v>7.0000000000000007E-2</v>
      </c>
      <c r="M43" s="1">
        <v>4.47</v>
      </c>
      <c r="N43" s="1">
        <v>192.1848981</v>
      </c>
      <c r="O43" s="1">
        <v>64.855275500000005</v>
      </c>
      <c r="P43" s="1">
        <v>84.536199999999994</v>
      </c>
      <c r="Q43" s="1">
        <v>9.5340000000000007</v>
      </c>
      <c r="R43" s="1">
        <v>9.3678899999999992</v>
      </c>
      <c r="S43" s="1">
        <f t="shared" si="2"/>
        <v>1399.2265914107247</v>
      </c>
      <c r="T43" s="1">
        <f t="shared" si="3"/>
        <v>-5</v>
      </c>
    </row>
    <row r="44" spans="1:21" x14ac:dyDescent="0.2">
      <c r="A44" s="1" t="s">
        <v>77</v>
      </c>
      <c r="B44" s="1" t="s">
        <v>20</v>
      </c>
      <c r="C44" s="1">
        <v>4.7202190000000002</v>
      </c>
      <c r="D44" s="1">
        <v>6.2600000000000003E-2</v>
      </c>
      <c r="E44" s="1">
        <v>1.3959999999999999</v>
      </c>
      <c r="F44" s="1">
        <v>2.37</v>
      </c>
      <c r="G44" s="1">
        <v>1679</v>
      </c>
      <c r="I44" s="2">
        <v>6274</v>
      </c>
      <c r="J44" s="1">
        <v>1.925</v>
      </c>
      <c r="K44" s="1">
        <v>1.464</v>
      </c>
      <c r="L44" s="1">
        <v>0.11899999999999999</v>
      </c>
      <c r="M44" s="1">
        <v>4.0339999999999998</v>
      </c>
      <c r="N44" s="1">
        <v>325.01453629999997</v>
      </c>
      <c r="O44" s="1">
        <v>48.4067674</v>
      </c>
      <c r="P44" s="1">
        <v>200.49199999999999</v>
      </c>
      <c r="Q44" s="1">
        <v>9.4380000000000006</v>
      </c>
      <c r="R44" s="1">
        <v>9.3503900000000009</v>
      </c>
      <c r="S44" s="1">
        <f t="shared" si="2"/>
        <v>353.31388599481477</v>
      </c>
      <c r="T44" s="1">
        <f t="shared" si="3"/>
        <v>-5</v>
      </c>
    </row>
    <row r="45" spans="1:21" x14ac:dyDescent="0.2">
      <c r="A45" s="1" t="s">
        <v>69</v>
      </c>
      <c r="B45" s="1" t="s">
        <v>20</v>
      </c>
      <c r="C45" s="1">
        <v>4.4258699999999997</v>
      </c>
      <c r="D45" s="1">
        <v>5.7779999999999998E-2</v>
      </c>
      <c r="E45" s="1">
        <v>2.2303544500000001</v>
      </c>
      <c r="F45" s="1">
        <v>1.86578665</v>
      </c>
      <c r="G45" s="1">
        <v>1293</v>
      </c>
      <c r="H45" s="1" t="s">
        <v>70</v>
      </c>
      <c r="I45" s="2">
        <v>6117</v>
      </c>
      <c r="J45" s="1">
        <v>1.53</v>
      </c>
      <c r="K45" s="1">
        <v>1.3120000000000001</v>
      </c>
      <c r="L45" s="1">
        <v>0.25</v>
      </c>
      <c r="M45" s="1">
        <v>4.0999999999999996</v>
      </c>
      <c r="N45" s="1">
        <v>313.5110469</v>
      </c>
      <c r="O45" s="1">
        <v>72.580645500000003</v>
      </c>
      <c r="P45" s="1">
        <v>139.48400000000001</v>
      </c>
      <c r="Q45" s="1">
        <v>9.2700010000000006</v>
      </c>
      <c r="R45" s="1">
        <v>9.1879500000000007</v>
      </c>
      <c r="S45" s="1">
        <f t="shared" si="2"/>
        <v>882.20971786077962</v>
      </c>
      <c r="T45" s="1">
        <f t="shared" si="3"/>
        <v>-5</v>
      </c>
    </row>
    <row r="46" spans="1:21" x14ac:dyDescent="0.2">
      <c r="A46" s="1" t="s">
        <v>34</v>
      </c>
      <c r="B46" s="1" t="s">
        <v>20</v>
      </c>
      <c r="C46" s="1">
        <v>2.6502370000000002</v>
      </c>
      <c r="D46" s="1">
        <v>4.5999999999999999E-2</v>
      </c>
      <c r="E46" s="1">
        <v>1.49</v>
      </c>
      <c r="F46" s="1">
        <v>3.12</v>
      </c>
      <c r="G46" s="1">
        <v>2370</v>
      </c>
      <c r="H46" s="1" t="s">
        <v>35</v>
      </c>
      <c r="I46" s="2">
        <v>7690</v>
      </c>
      <c r="J46" s="1">
        <v>1.92</v>
      </c>
      <c r="K46" s="1">
        <v>1.9</v>
      </c>
      <c r="L46" s="1">
        <v>0.09</v>
      </c>
      <c r="M46" s="1">
        <v>4.1500000000000004</v>
      </c>
      <c r="N46" s="1">
        <v>316.20369219999998</v>
      </c>
      <c r="O46" s="1">
        <v>55.588022100000003</v>
      </c>
      <c r="P46" s="1">
        <v>148.92500000000001</v>
      </c>
      <c r="Q46" s="1">
        <v>8.0299999999999994</v>
      </c>
      <c r="R46" s="1">
        <v>7.9756099999999996</v>
      </c>
      <c r="S46" s="1">
        <f t="shared" si="2"/>
        <v>431.57254486096394</v>
      </c>
      <c r="T46" s="1">
        <f t="shared" si="3"/>
        <v>-7</v>
      </c>
    </row>
    <row r="47" spans="1:21" x14ac:dyDescent="0.2">
      <c r="A47" s="1" t="s">
        <v>60</v>
      </c>
      <c r="B47" s="1" t="s">
        <v>20</v>
      </c>
      <c r="C47" s="1">
        <v>1.902603</v>
      </c>
      <c r="D47" s="1">
        <v>3.8899999999999997E-2</v>
      </c>
      <c r="E47" s="1">
        <v>1.875</v>
      </c>
      <c r="F47" s="1">
        <v>2.2999999999999998</v>
      </c>
      <c r="G47" s="1">
        <v>2492</v>
      </c>
      <c r="H47" s="1" t="s">
        <v>61</v>
      </c>
      <c r="I47" s="2">
        <v>7300</v>
      </c>
      <c r="J47" s="1">
        <v>1.95</v>
      </c>
      <c r="K47" s="1">
        <v>1.79</v>
      </c>
      <c r="L47" s="1">
        <v>-0.1</v>
      </c>
      <c r="M47" s="1">
        <v>4.0999999999999996</v>
      </c>
      <c r="N47" s="1">
        <v>352.26752069999998</v>
      </c>
      <c r="O47" s="1">
        <v>67.034806200000006</v>
      </c>
      <c r="P47" s="1">
        <v>225.88800000000001</v>
      </c>
      <c r="Q47" s="1">
        <v>8.952</v>
      </c>
      <c r="R47" s="1">
        <v>8.8952899999999993</v>
      </c>
      <c r="S47" s="1">
        <f t="shared" si="2"/>
        <v>974.78820571370204</v>
      </c>
      <c r="T47" s="1">
        <f t="shared" si="3"/>
        <v>-7</v>
      </c>
    </row>
    <row r="48" spans="1:21" x14ac:dyDescent="0.2">
      <c r="A48" s="1" t="s">
        <v>87</v>
      </c>
      <c r="B48" s="1" t="s">
        <v>20</v>
      </c>
      <c r="C48" s="1">
        <v>3.2086640000000002</v>
      </c>
      <c r="D48" s="1">
        <v>4.8820000000000002E-2</v>
      </c>
      <c r="E48" s="1">
        <v>1.44</v>
      </c>
      <c r="F48" s="1">
        <v>0.7</v>
      </c>
      <c r="G48" s="1">
        <v>1927</v>
      </c>
      <c r="H48" s="1" t="s">
        <v>56</v>
      </c>
      <c r="I48" s="2">
        <v>5991</v>
      </c>
      <c r="J48" s="1">
        <v>2.1680000000000001</v>
      </c>
      <c r="K48" s="1">
        <v>1.5069999999999999</v>
      </c>
      <c r="L48" s="1">
        <v>0.373</v>
      </c>
      <c r="M48" s="1">
        <v>3.9430000000000001</v>
      </c>
      <c r="N48" s="1">
        <v>142.74340599999999</v>
      </c>
      <c r="O48" s="1">
        <v>26.539995099999999</v>
      </c>
      <c r="P48" s="1">
        <v>229.06700000000001</v>
      </c>
      <c r="Q48" s="1">
        <v>9.7210000000000001</v>
      </c>
      <c r="R48" s="1">
        <v>9.5843900000000009</v>
      </c>
      <c r="S48" s="1">
        <f t="shared" si="2"/>
        <v>1460.8182255852041</v>
      </c>
      <c r="T48" s="1">
        <f t="shared" si="3"/>
        <v>-5</v>
      </c>
    </row>
    <row r="49" spans="1:20" x14ac:dyDescent="0.2">
      <c r="A49" s="1" t="s">
        <v>102</v>
      </c>
      <c r="B49" s="1" t="s">
        <v>20</v>
      </c>
      <c r="C49" s="1">
        <v>9.5739181000000002</v>
      </c>
      <c r="D49" s="1">
        <v>0.1</v>
      </c>
      <c r="E49" s="1">
        <v>1.10166148</v>
      </c>
      <c r="F49" s="1">
        <v>0.28128386</v>
      </c>
      <c r="G49" s="1">
        <v>1199.55</v>
      </c>
      <c r="I49" s="2">
        <v>6039</v>
      </c>
      <c r="J49" s="1">
        <v>2.032</v>
      </c>
      <c r="K49" s="1">
        <v>1.4642999999999999</v>
      </c>
      <c r="L49" s="1">
        <v>0.33200000000000002</v>
      </c>
      <c r="M49" s="1">
        <v>3.9860000000000002</v>
      </c>
      <c r="N49" s="1">
        <v>201.9626552</v>
      </c>
      <c r="O49" s="1">
        <v>9.0306437000000006</v>
      </c>
      <c r="P49" s="1">
        <v>223.465</v>
      </c>
      <c r="Q49" s="1">
        <v>9.8149999999999995</v>
      </c>
      <c r="R49" s="1">
        <v>9.6598100000000002</v>
      </c>
      <c r="S49" s="1">
        <f t="shared" si="2"/>
        <v>1324.5165539963698</v>
      </c>
      <c r="T49" s="1">
        <f t="shared" si="3"/>
        <v>-5</v>
      </c>
    </row>
    <row r="50" spans="1:20" x14ac:dyDescent="0.2">
      <c r="A50" s="1" t="s">
        <v>111</v>
      </c>
      <c r="B50" s="1" t="s">
        <v>20</v>
      </c>
      <c r="C50" s="1">
        <v>17.305904000000002</v>
      </c>
      <c r="D50" s="1">
        <v>0.16</v>
      </c>
      <c r="E50" s="1">
        <v>1.07</v>
      </c>
      <c r="F50" s="1">
        <v>6.4</v>
      </c>
      <c r="G50" s="1">
        <v>1221.3900000000001</v>
      </c>
      <c r="I50" s="2">
        <v>7130</v>
      </c>
      <c r="J50" s="1">
        <v>2.02</v>
      </c>
      <c r="K50" s="1">
        <v>1.59</v>
      </c>
      <c r="L50" s="1">
        <v>0</v>
      </c>
      <c r="M50" s="1">
        <v>3.9460000000000002</v>
      </c>
      <c r="N50" s="1">
        <v>164.031654</v>
      </c>
      <c r="O50" s="1">
        <v>-43.376696699999997</v>
      </c>
      <c r="P50" s="1">
        <v>328.47500000000002</v>
      </c>
      <c r="Q50" s="1">
        <v>9.8670000000000009</v>
      </c>
      <c r="R50" s="1">
        <v>9.7596699999999998</v>
      </c>
      <c r="S50" s="1">
        <f t="shared" si="2"/>
        <v>55.915145726222889</v>
      </c>
      <c r="T50" s="1">
        <f t="shared" si="3"/>
        <v>-7</v>
      </c>
    </row>
    <row r="51" spans="1:20" x14ac:dyDescent="0.2">
      <c r="A51" s="1" t="s">
        <v>64</v>
      </c>
      <c r="B51" s="1" t="s">
        <v>20</v>
      </c>
      <c r="C51" s="1">
        <v>10.261127</v>
      </c>
      <c r="D51" s="1">
        <v>0.111</v>
      </c>
      <c r="E51" s="1">
        <v>1.1079506100000001</v>
      </c>
      <c r="F51" s="1">
        <v>5.55960374</v>
      </c>
      <c r="G51" s="1">
        <v>1363.43</v>
      </c>
      <c r="I51" s="2">
        <v>6200</v>
      </c>
      <c r="J51" s="1">
        <v>2.7505000000000002</v>
      </c>
      <c r="K51" s="1">
        <v>1.7169000000000001</v>
      </c>
      <c r="L51" s="1">
        <v>0.28499999999999998</v>
      </c>
      <c r="M51" s="1">
        <v>3.7890000000000001</v>
      </c>
      <c r="N51" s="1">
        <v>263.75807529999997</v>
      </c>
      <c r="O51" s="1">
        <v>40.695042800000003</v>
      </c>
      <c r="P51" s="1">
        <v>224.73099999999999</v>
      </c>
      <c r="Q51" s="1">
        <v>9.07</v>
      </c>
      <c r="R51" s="1">
        <v>8.9365100000000002</v>
      </c>
      <c r="S51" s="1">
        <f t="shared" si="2"/>
        <v>77.040187113891676</v>
      </c>
      <c r="T51" s="1">
        <f t="shared" si="3"/>
        <v>-5</v>
      </c>
    </row>
    <row r="52" spans="1:20" x14ac:dyDescent="0.2">
      <c r="A52" s="1" t="s">
        <v>85</v>
      </c>
      <c r="B52" s="1" t="s">
        <v>20</v>
      </c>
      <c r="C52" s="1">
        <v>10.655669</v>
      </c>
      <c r="D52" s="1">
        <v>0.1166</v>
      </c>
      <c r="E52" s="1">
        <v>0.99399999999999999</v>
      </c>
      <c r="F52" s="1">
        <v>4.82</v>
      </c>
      <c r="G52" s="1">
        <v>1595</v>
      </c>
      <c r="I52" s="2">
        <v>7360</v>
      </c>
      <c r="J52" s="1">
        <v>2.36</v>
      </c>
      <c r="K52" s="1">
        <v>1.859</v>
      </c>
      <c r="L52" s="1">
        <v>9.4E-2</v>
      </c>
      <c r="M52" s="1">
        <v>3.9620000000000002</v>
      </c>
      <c r="N52" s="1">
        <v>90.062587800000003</v>
      </c>
      <c r="O52" s="1">
        <v>11.8840577</v>
      </c>
      <c r="P52" s="1">
        <v>285.28899999999999</v>
      </c>
      <c r="Q52" s="1">
        <v>9.5470000000000006</v>
      </c>
      <c r="R52" s="1">
        <v>9.4724400000000006</v>
      </c>
      <c r="S52" s="1">
        <f t="shared" si="2"/>
        <v>83.670803141549356</v>
      </c>
      <c r="T52" s="1">
        <f t="shared" si="3"/>
        <v>-7</v>
      </c>
    </row>
    <row r="53" spans="1:20" x14ac:dyDescent="0.2">
      <c r="A53" s="1" t="s">
        <v>22</v>
      </c>
      <c r="B53" s="1" t="s">
        <v>20</v>
      </c>
      <c r="C53" s="1">
        <v>18.388179999999998</v>
      </c>
      <c r="D53" s="1">
        <v>0.15279999999999999</v>
      </c>
      <c r="E53" s="1">
        <v>0.63900000000000001</v>
      </c>
      <c r="F53" s="1">
        <v>0.13800000000000001</v>
      </c>
      <c r="G53" s="1">
        <v>1027</v>
      </c>
      <c r="I53" s="2">
        <v>6095</v>
      </c>
      <c r="J53" s="1">
        <v>1.867</v>
      </c>
      <c r="K53" s="1">
        <v>1.407</v>
      </c>
      <c r="L53" s="1">
        <v>0.17499999999999999</v>
      </c>
      <c r="M53" s="1">
        <v>4.0439999999999996</v>
      </c>
      <c r="N53" s="1">
        <v>47.517260800000003</v>
      </c>
      <c r="O53" s="1">
        <v>-50.8322632</v>
      </c>
      <c r="P53" s="1">
        <v>76.902799999999999</v>
      </c>
      <c r="Q53" s="1">
        <v>7.57</v>
      </c>
      <c r="R53" s="1">
        <v>7.4165299999999998</v>
      </c>
      <c r="S53" s="1">
        <f t="shared" si="2"/>
        <v>777.64358420307099</v>
      </c>
      <c r="T53" s="1">
        <f t="shared" si="3"/>
        <v>-5</v>
      </c>
    </row>
    <row r="54" spans="1:20" x14ac:dyDescent="0.2">
      <c r="A54" s="1" t="s">
        <v>115</v>
      </c>
      <c r="B54" s="1" t="s">
        <v>20</v>
      </c>
      <c r="C54" s="1">
        <v>16.067540999999999</v>
      </c>
      <c r="D54" s="1">
        <v>0.11700000000000001</v>
      </c>
      <c r="E54" s="1">
        <v>0.45410017000000003</v>
      </c>
      <c r="F54" s="1">
        <v>4.4363560000000003E-2</v>
      </c>
      <c r="G54" s="1">
        <v>635</v>
      </c>
      <c r="H54" s="1" t="s">
        <v>116</v>
      </c>
      <c r="I54" s="2">
        <v>5291</v>
      </c>
      <c r="J54" s="1">
        <v>0.86599999999999999</v>
      </c>
      <c r="K54" s="1">
        <v>0.83299999999999996</v>
      </c>
      <c r="L54" s="1">
        <v>-4.3999999999999997E-2</v>
      </c>
      <c r="M54" s="1">
        <v>4.4800000000000004</v>
      </c>
      <c r="N54" s="1">
        <v>81.853282399999998</v>
      </c>
      <c r="O54" s="1">
        <v>-14.2767404</v>
      </c>
      <c r="P54" s="1">
        <v>74.796899999999994</v>
      </c>
      <c r="Q54" s="1">
        <v>9.9309999999999992</v>
      </c>
      <c r="R54" s="1">
        <v>9.7777600000000007</v>
      </c>
      <c r="S54" s="1">
        <f t="shared" si="2"/>
        <v>755.33252275944176</v>
      </c>
      <c r="T54" s="1">
        <f t="shared" si="3"/>
        <v>-5</v>
      </c>
    </row>
    <row r="55" spans="1:20" x14ac:dyDescent="0.2">
      <c r="A55" s="1" t="s">
        <v>121</v>
      </c>
      <c r="B55" s="1" t="s">
        <v>20</v>
      </c>
      <c r="C55" s="1">
        <v>9.9558099999999996</v>
      </c>
      <c r="D55" s="1">
        <v>9.9400000000000002E-2</v>
      </c>
      <c r="E55" s="1">
        <v>1.0580000000000001</v>
      </c>
      <c r="F55" s="1">
        <v>1.49</v>
      </c>
      <c r="G55" s="1">
        <v>1655</v>
      </c>
      <c r="I55" s="2">
        <v>4896</v>
      </c>
      <c r="J55" s="1">
        <v>3.55</v>
      </c>
      <c r="K55" s="1">
        <v>1.31</v>
      </c>
      <c r="L55" s="1">
        <v>0.23</v>
      </c>
      <c r="M55" s="1">
        <v>3.48</v>
      </c>
      <c r="N55" s="1">
        <v>184.97875790000001</v>
      </c>
      <c r="O55" s="1">
        <v>-25.827853099999999</v>
      </c>
      <c r="P55" s="1">
        <v>215.98599999999999</v>
      </c>
      <c r="Q55" s="1">
        <v>9.9730000000000008</v>
      </c>
      <c r="R55" s="1">
        <v>9.641</v>
      </c>
      <c r="S55" s="1">
        <f t="shared" si="2"/>
        <v>318.17832033985127</v>
      </c>
      <c r="T55" s="1">
        <f t="shared" si="3"/>
        <v>-5</v>
      </c>
    </row>
    <row r="56" spans="1:20" x14ac:dyDescent="0.2">
      <c r="A56" s="1" t="s">
        <v>68</v>
      </c>
      <c r="B56" s="1" t="s">
        <v>20</v>
      </c>
      <c r="C56" s="1">
        <v>7.2459899999999999</v>
      </c>
      <c r="D56" s="1">
        <v>8.8800000000000004E-2</v>
      </c>
      <c r="E56" s="1">
        <v>1.042</v>
      </c>
      <c r="F56" s="1">
        <v>12.89</v>
      </c>
      <c r="G56" s="1">
        <v>1677</v>
      </c>
      <c r="H56" s="1" t="s">
        <v>56</v>
      </c>
      <c r="I56" s="2">
        <v>6264</v>
      </c>
      <c r="J56" s="1">
        <v>2.738</v>
      </c>
      <c r="K56" s="1">
        <v>1.7649999999999999</v>
      </c>
      <c r="L56" s="1">
        <v>0.34200000000000003</v>
      </c>
      <c r="M56" s="1">
        <v>3.81</v>
      </c>
      <c r="N56" s="1">
        <v>83.865928800000006</v>
      </c>
      <c r="O56" s="1">
        <v>21.294241700000001</v>
      </c>
      <c r="P56" s="1">
        <v>225.643</v>
      </c>
      <c r="Q56" s="1">
        <v>9.24</v>
      </c>
      <c r="R56" s="1">
        <v>9.0746900000000004</v>
      </c>
      <c r="S56" s="1">
        <f t="shared" si="2"/>
        <v>36.149567272802649</v>
      </c>
      <c r="T56" s="1">
        <f t="shared" si="3"/>
        <v>-5</v>
      </c>
    </row>
    <row r="57" spans="1:20" x14ac:dyDescent="0.2">
      <c r="A57" s="1" t="s">
        <v>119</v>
      </c>
      <c r="B57" s="1" t="s">
        <v>20</v>
      </c>
      <c r="C57" s="1">
        <v>10.331110000000001</v>
      </c>
      <c r="D57" s="1">
        <v>9.7000000000000003E-2</v>
      </c>
      <c r="E57" s="1">
        <v>0.99</v>
      </c>
      <c r="F57" s="1">
        <v>1.53</v>
      </c>
      <c r="G57" s="1">
        <v>1370</v>
      </c>
      <c r="H57" s="1" t="s">
        <v>120</v>
      </c>
      <c r="I57" s="2">
        <v>5735</v>
      </c>
      <c r="J57" s="1">
        <v>1.66</v>
      </c>
      <c r="K57" s="1">
        <v>1.1399999999999999</v>
      </c>
      <c r="L57" s="1">
        <v>0.26</v>
      </c>
      <c r="M57" s="1">
        <v>4.0599999999999996</v>
      </c>
      <c r="N57" s="1">
        <v>110.5126861</v>
      </c>
      <c r="O57" s="1">
        <v>-57.384998000000003</v>
      </c>
      <c r="P57" s="1">
        <v>179.36600000000001</v>
      </c>
      <c r="Q57" s="1">
        <v>9.9719999999999995</v>
      </c>
      <c r="R57" s="1">
        <v>9.8465900000000008</v>
      </c>
      <c r="S57" s="1">
        <f t="shared" si="2"/>
        <v>224.58825733889913</v>
      </c>
      <c r="T57" s="1">
        <f t="shared" si="3"/>
        <v>-5</v>
      </c>
    </row>
    <row r="58" spans="1:20" x14ac:dyDescent="0.2">
      <c r="A58" s="1" t="s">
        <v>92</v>
      </c>
      <c r="B58" s="1" t="s">
        <v>20</v>
      </c>
      <c r="C58" s="1">
        <v>6.7535809999999996</v>
      </c>
      <c r="D58" s="1">
        <v>7.2999999999999995E-2</v>
      </c>
      <c r="E58" s="1">
        <v>0.58881357999999995</v>
      </c>
      <c r="F58" s="1">
        <v>0.10068326</v>
      </c>
      <c r="G58" s="1">
        <v>1180</v>
      </c>
      <c r="I58" s="2">
        <v>5808</v>
      </c>
      <c r="J58" s="1">
        <v>1.29</v>
      </c>
      <c r="K58" s="1">
        <v>1.1000000000000001</v>
      </c>
      <c r="L58" s="1">
        <v>0.2</v>
      </c>
      <c r="M58" s="1">
        <v>4.26</v>
      </c>
      <c r="N58" s="1">
        <v>166.26950410000001</v>
      </c>
      <c r="O58" s="1">
        <v>11.2464069</v>
      </c>
      <c r="P58" s="1">
        <v>130.91900000000001</v>
      </c>
      <c r="Q58" s="1">
        <v>9.75</v>
      </c>
      <c r="R58" s="1">
        <v>9.6080000000000005</v>
      </c>
      <c r="S58" s="1">
        <f t="shared" si="2"/>
        <v>1039.84328949877</v>
      </c>
      <c r="T58" s="1">
        <f t="shared" si="3"/>
        <v>-5</v>
      </c>
    </row>
    <row r="59" spans="1:20" x14ac:dyDescent="0.2">
      <c r="A59" s="1" t="s">
        <v>129</v>
      </c>
      <c r="B59" s="1" t="s">
        <v>20</v>
      </c>
      <c r="C59" s="1">
        <v>10.590547000000001</v>
      </c>
      <c r="D59" s="1">
        <v>9.8000000000000004E-2</v>
      </c>
      <c r="E59" s="1">
        <v>0.91890603000000004</v>
      </c>
      <c r="F59" s="1">
        <v>0.18469084999999999</v>
      </c>
      <c r="G59" s="1">
        <v>947</v>
      </c>
      <c r="H59" s="1" t="s">
        <v>130</v>
      </c>
      <c r="I59" s="2">
        <v>6000</v>
      </c>
      <c r="J59" s="1">
        <v>1.0509999999999999</v>
      </c>
      <c r="K59" s="1">
        <v>1.1459999999999999</v>
      </c>
      <c r="L59" s="1">
        <v>0.09</v>
      </c>
      <c r="M59" s="1">
        <v>4.4400000000000004</v>
      </c>
      <c r="N59" s="1">
        <v>161.87955690000001</v>
      </c>
      <c r="O59" s="1">
        <v>36.329434499999998</v>
      </c>
      <c r="P59" s="1">
        <v>130.85499999999999</v>
      </c>
      <c r="Q59" s="1">
        <v>10.058999999999999</v>
      </c>
      <c r="R59" s="1">
        <v>9.9823299999999993</v>
      </c>
      <c r="S59" s="1">
        <f t="shared" si="2"/>
        <v>1107.9861243219782</v>
      </c>
      <c r="T59" s="1">
        <f t="shared" si="3"/>
        <v>-5</v>
      </c>
    </row>
    <row r="60" spans="1:20" x14ac:dyDescent="0.2">
      <c r="A60" s="1" t="s">
        <v>114</v>
      </c>
      <c r="B60" s="1" t="s">
        <v>20</v>
      </c>
      <c r="C60" s="1">
        <v>5.8267310999999999</v>
      </c>
      <c r="D60" s="1">
        <v>6.9000000000000006E-2</v>
      </c>
      <c r="E60" s="1">
        <v>0.57186287999999996</v>
      </c>
      <c r="F60" s="1">
        <v>0.24698861999999999</v>
      </c>
      <c r="G60" s="1">
        <v>1439</v>
      </c>
      <c r="I60" s="2">
        <v>6110</v>
      </c>
      <c r="J60" s="1">
        <v>1.6479999999999999</v>
      </c>
      <c r="K60" s="1">
        <v>1.2909999999999999</v>
      </c>
      <c r="L60" s="1">
        <v>0.124</v>
      </c>
      <c r="M60" s="1">
        <v>4.1180000000000003</v>
      </c>
      <c r="N60" s="1">
        <v>51.657269100000001</v>
      </c>
      <c r="O60" s="1">
        <v>40.817270399999998</v>
      </c>
      <c r="P60" s="1">
        <v>179.14699999999999</v>
      </c>
      <c r="Q60" s="1">
        <v>9.9130000000000003</v>
      </c>
      <c r="R60" s="1">
        <v>9.7295700000000007</v>
      </c>
      <c r="S60" s="1">
        <f t="shared" si="2"/>
        <v>487.59044264912109</v>
      </c>
      <c r="T60" s="1">
        <f t="shared" si="3"/>
        <v>-5</v>
      </c>
    </row>
    <row r="61" spans="1:20" x14ac:dyDescent="0.2">
      <c r="A61" s="1" t="s">
        <v>62</v>
      </c>
      <c r="B61" s="1" t="s">
        <v>20</v>
      </c>
      <c r="C61" s="1">
        <v>6.4025129999999999</v>
      </c>
      <c r="D61" s="1">
        <v>7.0800000000000002E-2</v>
      </c>
      <c r="E61" s="1">
        <v>0.82399999999999995</v>
      </c>
      <c r="F61" s="1">
        <v>0.30299999999999999</v>
      </c>
      <c r="G61" s="1">
        <v>1388</v>
      </c>
      <c r="H61" s="1" t="s">
        <v>63</v>
      </c>
      <c r="I61" s="2">
        <v>6400</v>
      </c>
      <c r="J61" s="1">
        <v>1.415</v>
      </c>
      <c r="K61" s="1">
        <v>1.3129999999999999</v>
      </c>
      <c r="L61" s="1">
        <v>0.09</v>
      </c>
      <c r="M61" s="1">
        <v>4.2</v>
      </c>
      <c r="N61" s="1">
        <v>125.3050544</v>
      </c>
      <c r="O61" s="1">
        <v>-46.484295899999999</v>
      </c>
      <c r="P61" s="1">
        <v>123.297</v>
      </c>
      <c r="Q61" s="1">
        <v>8.9949999999999992</v>
      </c>
      <c r="R61" s="1">
        <v>8.8910300000000007</v>
      </c>
      <c r="S61" s="1">
        <f t="shared" si="2"/>
        <v>795.95548671567838</v>
      </c>
      <c r="T61" s="1">
        <f t="shared" si="3"/>
        <v>-5</v>
      </c>
    </row>
    <row r="62" spans="1:20" x14ac:dyDescent="0.2">
      <c r="A62" s="1" t="s">
        <v>105</v>
      </c>
      <c r="B62" s="1" t="s">
        <v>20</v>
      </c>
      <c r="C62" s="1">
        <v>11.236598499999999</v>
      </c>
      <c r="D62" s="1">
        <v>0.1041</v>
      </c>
      <c r="E62" s="1">
        <v>1.17</v>
      </c>
      <c r="F62" s="1">
        <v>1.234</v>
      </c>
      <c r="G62" s="1">
        <v>1252</v>
      </c>
      <c r="H62" s="1" t="s">
        <v>54</v>
      </c>
      <c r="I62" s="2">
        <v>6295</v>
      </c>
      <c r="J62" s="1">
        <v>1.28</v>
      </c>
      <c r="K62" s="1">
        <v>1.181</v>
      </c>
      <c r="L62" s="1">
        <v>0</v>
      </c>
      <c r="M62" s="1">
        <v>4.2910000000000004</v>
      </c>
      <c r="N62" s="1">
        <v>144.11935940000001</v>
      </c>
      <c r="O62" s="1">
        <v>-50.463093299999997</v>
      </c>
      <c r="P62" s="1">
        <v>141.81200000000001</v>
      </c>
      <c r="Q62" s="1">
        <v>9.8219999999999992</v>
      </c>
      <c r="R62" s="1">
        <v>9.6608199999999993</v>
      </c>
      <c r="S62" s="1">
        <f t="shared" si="2"/>
        <v>355.42536038318485</v>
      </c>
      <c r="T62" s="1">
        <f t="shared" si="3"/>
        <v>-5</v>
      </c>
    </row>
    <row r="63" spans="1:20" x14ac:dyDescent="0.2">
      <c r="A63" s="1" t="s">
        <v>65</v>
      </c>
      <c r="B63" s="1" t="s">
        <v>20</v>
      </c>
      <c r="C63" s="1">
        <v>4.6336110000000001</v>
      </c>
      <c r="D63" s="1">
        <v>0.06</v>
      </c>
      <c r="E63" s="1">
        <v>1.37</v>
      </c>
      <c r="F63" s="1">
        <v>2.8</v>
      </c>
      <c r="G63" s="1">
        <v>1561</v>
      </c>
      <c r="H63" s="1" t="s">
        <v>66</v>
      </c>
      <c r="I63" s="2">
        <v>6643</v>
      </c>
      <c r="J63" s="1">
        <v>1.71</v>
      </c>
      <c r="K63" s="1">
        <v>1.4</v>
      </c>
      <c r="L63" s="1">
        <v>0</v>
      </c>
      <c r="M63" s="1">
        <v>4.05</v>
      </c>
      <c r="N63" s="1">
        <v>199.33385029999999</v>
      </c>
      <c r="O63" s="1">
        <v>-15.2737046</v>
      </c>
      <c r="P63" s="1">
        <v>161.74299999999999</v>
      </c>
      <c r="Q63" s="1">
        <v>9.109</v>
      </c>
      <c r="R63" s="1">
        <v>8.9943600000000004</v>
      </c>
      <c r="S63" s="1">
        <f t="shared" si="2"/>
        <v>267.77715667890726</v>
      </c>
      <c r="T63" s="1">
        <f t="shared" si="3"/>
        <v>-5</v>
      </c>
    </row>
    <row r="64" spans="1:20" x14ac:dyDescent="0.2">
      <c r="A64" s="8" t="s">
        <v>143</v>
      </c>
      <c r="I64" s="5">
        <v>6161.02294921875</v>
      </c>
      <c r="J64" s="6">
        <v>1.7061723470687871</v>
      </c>
      <c r="K64" s="1">
        <v>1.3463604</v>
      </c>
      <c r="M64" s="6">
        <v>3.9825000762939449</v>
      </c>
      <c r="N64" s="1">
        <v>268.30433503422898</v>
      </c>
      <c r="O64" s="6">
        <v>37.211736733677057</v>
      </c>
      <c r="P64" s="1">
        <v>496.26729999999998</v>
      </c>
      <c r="Q64" s="6">
        <v>11.469913482666019</v>
      </c>
      <c r="R64" s="6">
        <v>11.469913482666019</v>
      </c>
    </row>
    <row r="65" spans="1:21" x14ac:dyDescent="0.2">
      <c r="A65" s="3" t="s">
        <v>138</v>
      </c>
      <c r="B65" s="1" t="s">
        <v>20</v>
      </c>
      <c r="I65" s="2">
        <v>6200</v>
      </c>
      <c r="J65" s="1">
        <v>1.2</v>
      </c>
      <c r="N65" s="1">
        <v>97.636728000000005</v>
      </c>
      <c r="O65" s="1">
        <v>29.672419000000001</v>
      </c>
      <c r="P65" s="1">
        <v>427</v>
      </c>
      <c r="R65" s="1">
        <v>11.4986</v>
      </c>
      <c r="T65" s="1">
        <f t="shared" ref="T65:T85" si="4">IF(I65&gt;6800,-7,-5)</f>
        <v>-5</v>
      </c>
    </row>
    <row r="66" spans="1:21" x14ac:dyDescent="0.2">
      <c r="A66" s="1" t="s">
        <v>131</v>
      </c>
      <c r="B66" s="1" t="s">
        <v>20</v>
      </c>
      <c r="C66" s="1">
        <v>5.3220124999999996</v>
      </c>
      <c r="D66" s="1">
        <v>6.08E-2</v>
      </c>
      <c r="E66" s="1">
        <v>1.226</v>
      </c>
      <c r="F66" s="1">
        <v>0.27300000000000002</v>
      </c>
      <c r="G66" s="1">
        <v>1460</v>
      </c>
      <c r="H66" s="1" t="s">
        <v>43</v>
      </c>
      <c r="I66" s="2">
        <v>5990</v>
      </c>
      <c r="J66" s="1">
        <v>1.5609999999999999</v>
      </c>
      <c r="K66" s="1">
        <v>1.06</v>
      </c>
      <c r="L66" s="1">
        <v>-0.2</v>
      </c>
      <c r="M66" s="1">
        <v>4.0750000000000002</v>
      </c>
      <c r="N66" s="1">
        <v>210.1935714</v>
      </c>
      <c r="O66" s="1">
        <v>-30.583608399999999</v>
      </c>
      <c r="P66" s="1">
        <v>200.07499999999999</v>
      </c>
      <c r="Q66" s="1">
        <v>10.068</v>
      </c>
      <c r="R66" s="1">
        <v>9.8670799999999996</v>
      </c>
      <c r="S66" s="1">
        <f t="shared" ref="S66:S85" si="5">(0.000000000000000138*G66/(1.673534E-24*1.3*0.000000066726*F66*1.8986E+30/(E66*7149200000)^2))/100000</f>
        <v>2057.1154637812851</v>
      </c>
      <c r="T66" s="1">
        <f t="shared" si="4"/>
        <v>-5</v>
      </c>
    </row>
    <row r="67" spans="1:21" x14ac:dyDescent="0.2">
      <c r="A67" s="1" t="s">
        <v>122</v>
      </c>
      <c r="B67" s="1" t="s">
        <v>20</v>
      </c>
      <c r="C67" s="1">
        <v>5.21536178778</v>
      </c>
      <c r="D67" s="1">
        <v>6.6100000000000006E-2</v>
      </c>
      <c r="E67" s="1">
        <v>1.5</v>
      </c>
      <c r="F67" s="1">
        <v>1.51</v>
      </c>
      <c r="G67" s="1">
        <v>1630</v>
      </c>
      <c r="H67" s="1" t="s">
        <v>56</v>
      </c>
      <c r="I67" s="2">
        <v>6250</v>
      </c>
      <c r="J67" s="1">
        <v>2.3901400000000002</v>
      </c>
      <c r="K67" s="1">
        <v>1.41</v>
      </c>
      <c r="L67" s="1">
        <v>-0.18</v>
      </c>
      <c r="M67" s="1">
        <v>3.9</v>
      </c>
      <c r="N67" s="1">
        <v>0.32576100000000002</v>
      </c>
      <c r="O67" s="1">
        <v>-8.9262511999999994</v>
      </c>
      <c r="P67" s="1">
        <v>275.58699999999999</v>
      </c>
      <c r="Q67" s="1">
        <v>9.9740000000000002</v>
      </c>
      <c r="R67" s="1">
        <v>9.8192900000000005</v>
      </c>
      <c r="S67" s="1">
        <f t="shared" si="5"/>
        <v>621.55661806820979</v>
      </c>
      <c r="T67" s="1">
        <f t="shared" si="4"/>
        <v>-5</v>
      </c>
    </row>
    <row r="68" spans="1:21" x14ac:dyDescent="0.2">
      <c r="A68" s="1" t="s">
        <v>89</v>
      </c>
      <c r="B68" s="1" t="s">
        <v>20</v>
      </c>
      <c r="C68" s="1">
        <v>2.2437499999999999</v>
      </c>
      <c r="D68" s="1">
        <v>3.6999999999999998E-2</v>
      </c>
      <c r="E68" s="1">
        <v>1.38</v>
      </c>
      <c r="F68" s="1">
        <v>8.84</v>
      </c>
      <c r="G68" s="1">
        <v>1872</v>
      </c>
      <c r="I68" s="2">
        <v>6475</v>
      </c>
      <c r="J68" s="1">
        <v>1.4</v>
      </c>
      <c r="K68" s="1">
        <v>1.62</v>
      </c>
      <c r="L68" s="1">
        <v>0</v>
      </c>
      <c r="M68" s="1">
        <v>4.07</v>
      </c>
      <c r="N68" s="1">
        <v>218.27662470000001</v>
      </c>
      <c r="O68" s="1">
        <v>21.8946875</v>
      </c>
      <c r="P68" s="1">
        <v>161.99700000000001</v>
      </c>
      <c r="Q68" s="1">
        <v>9.7449999999999992</v>
      </c>
      <c r="R68" s="1">
        <v>9.6464700000000008</v>
      </c>
      <c r="S68" s="1">
        <f t="shared" si="5"/>
        <v>103.20465157174387</v>
      </c>
      <c r="T68" s="1">
        <f t="shared" si="4"/>
        <v>-5</v>
      </c>
    </row>
    <row r="69" spans="1:21" x14ac:dyDescent="0.2">
      <c r="A69" s="1" t="s">
        <v>73</v>
      </c>
      <c r="B69" s="1" t="s">
        <v>20</v>
      </c>
      <c r="C69" s="1">
        <v>5.4435399999999996</v>
      </c>
      <c r="D69" s="1">
        <v>6.4100000000000004E-2</v>
      </c>
      <c r="E69" s="1">
        <v>0.63</v>
      </c>
      <c r="F69" s="1">
        <v>0.10100000000000001</v>
      </c>
      <c r="G69" s="1">
        <v>1270</v>
      </c>
      <c r="H69" s="1" t="s">
        <v>74</v>
      </c>
      <c r="I69" s="2">
        <v>6050</v>
      </c>
      <c r="J69" s="1">
        <v>1.22</v>
      </c>
      <c r="K69" s="1">
        <v>1.19</v>
      </c>
      <c r="L69" s="1">
        <v>0.19</v>
      </c>
      <c r="M69" s="1">
        <v>4.34</v>
      </c>
      <c r="N69" s="1">
        <v>144.87510470000001</v>
      </c>
      <c r="O69" s="1">
        <v>-20.982419100000001</v>
      </c>
      <c r="P69" s="1">
        <v>114.173</v>
      </c>
      <c r="Q69" s="1">
        <v>9.3510000000000009</v>
      </c>
      <c r="R69" s="1">
        <v>9.2569999999999997</v>
      </c>
      <c r="S69" s="1">
        <f t="shared" si="5"/>
        <v>1277.1766379712274</v>
      </c>
      <c r="T69" s="1">
        <f t="shared" si="4"/>
        <v>-5</v>
      </c>
    </row>
    <row r="70" spans="1:21" x14ac:dyDescent="0.2">
      <c r="A70" s="1" t="s">
        <v>117</v>
      </c>
      <c r="B70" s="1" t="s">
        <v>20</v>
      </c>
      <c r="C70" s="1">
        <v>3.3448285000000002</v>
      </c>
      <c r="D70" s="1">
        <v>5.5800000000000002E-2</v>
      </c>
      <c r="E70" s="1">
        <v>1.81</v>
      </c>
      <c r="F70" s="1">
        <v>1.66</v>
      </c>
      <c r="G70" s="1">
        <v>2470</v>
      </c>
      <c r="H70" s="1" t="s">
        <v>118</v>
      </c>
      <c r="I70" s="2">
        <v>9360</v>
      </c>
      <c r="J70" s="1">
        <v>1.67</v>
      </c>
      <c r="K70" s="1">
        <v>2.0699999999999998</v>
      </c>
      <c r="L70" s="1">
        <v>0.21</v>
      </c>
      <c r="M70" s="1">
        <v>4.3099999999999996</v>
      </c>
      <c r="N70" s="1">
        <v>227.270329</v>
      </c>
      <c r="O70" s="1">
        <v>-42.704965799999997</v>
      </c>
      <c r="P70" s="1">
        <v>427.678</v>
      </c>
      <c r="Q70" s="1">
        <v>9.9459999999999997</v>
      </c>
      <c r="R70" s="1">
        <v>9.9122599999999998</v>
      </c>
      <c r="S70" s="1">
        <f t="shared" si="5"/>
        <v>1247.4798366438731</v>
      </c>
      <c r="T70" s="1">
        <f t="shared" si="4"/>
        <v>-7</v>
      </c>
    </row>
    <row r="71" spans="1:21" x14ac:dyDescent="0.2">
      <c r="A71" s="1" t="s">
        <v>71</v>
      </c>
      <c r="B71" s="1" t="s">
        <v>20</v>
      </c>
      <c r="C71" s="1">
        <v>0.94145223</v>
      </c>
      <c r="D71" s="1">
        <v>2.0240000000000001E-2</v>
      </c>
      <c r="E71" s="1">
        <v>1.24</v>
      </c>
      <c r="F71" s="1">
        <v>10.199999999999999</v>
      </c>
      <c r="G71" s="1">
        <v>2429</v>
      </c>
      <c r="H71" s="1" t="s">
        <v>72</v>
      </c>
      <c r="I71" s="2">
        <v>6432</v>
      </c>
      <c r="J71" s="1">
        <v>1.319</v>
      </c>
      <c r="K71" s="1">
        <v>1.294</v>
      </c>
      <c r="L71" s="1">
        <v>0.107</v>
      </c>
      <c r="M71" s="1">
        <v>4.3099999999999996</v>
      </c>
      <c r="N71" s="1">
        <v>24.354461799999999</v>
      </c>
      <c r="O71" s="1">
        <v>-45.677793700000002</v>
      </c>
      <c r="P71" s="1">
        <v>123.483</v>
      </c>
      <c r="Q71" s="1">
        <v>9.2799999999999994</v>
      </c>
      <c r="R71" s="1">
        <v>9.1661699999999993</v>
      </c>
      <c r="S71" s="1">
        <f t="shared" si="5"/>
        <v>93.704022194109143</v>
      </c>
      <c r="T71" s="1">
        <f t="shared" si="4"/>
        <v>-5</v>
      </c>
    </row>
    <row r="72" spans="1:21" x14ac:dyDescent="0.2">
      <c r="A72" s="3" t="s">
        <v>19</v>
      </c>
      <c r="B72" s="1" t="s">
        <v>20</v>
      </c>
      <c r="C72" s="1">
        <v>2.7240329999999999</v>
      </c>
      <c r="D72" s="1">
        <v>5.0529999999999999E-2</v>
      </c>
      <c r="E72" s="1">
        <v>1.619</v>
      </c>
      <c r="F72" s="1">
        <v>1.99</v>
      </c>
      <c r="G72" s="1">
        <v>3353</v>
      </c>
      <c r="I72" s="2">
        <v>8000</v>
      </c>
      <c r="J72" s="1">
        <v>2.36</v>
      </c>
      <c r="K72" s="1">
        <v>2.0299999999999998</v>
      </c>
      <c r="L72" s="1">
        <v>0.28999999999999998</v>
      </c>
      <c r="M72" s="1">
        <v>3.9</v>
      </c>
      <c r="N72" s="1">
        <v>225.68673200000001</v>
      </c>
      <c r="O72" s="1">
        <v>-3.0314874000000001</v>
      </c>
      <c r="P72" s="1">
        <v>99.730999999999995</v>
      </c>
      <c r="Q72" s="1">
        <v>6.5977600000000001</v>
      </c>
      <c r="R72" s="1">
        <v>6.5536899999999996</v>
      </c>
      <c r="S72" s="15">
        <f t="shared" si="5"/>
        <v>1130.2166328238993</v>
      </c>
      <c r="T72" s="1">
        <f t="shared" si="4"/>
        <v>-7</v>
      </c>
      <c r="U72" s="3" t="s">
        <v>137</v>
      </c>
    </row>
    <row r="73" spans="1:21" x14ac:dyDescent="0.2">
      <c r="A73" s="1" t="s">
        <v>40</v>
      </c>
      <c r="B73" s="1" t="s">
        <v>20</v>
      </c>
      <c r="C73" s="1">
        <v>1.21987</v>
      </c>
      <c r="D73" s="1">
        <v>2.3900000000000001E-2</v>
      </c>
      <c r="E73" s="1">
        <v>1.593</v>
      </c>
      <c r="F73" s="1">
        <v>2.093</v>
      </c>
      <c r="G73" s="1">
        <v>2781.7</v>
      </c>
      <c r="H73" s="1" t="s">
        <v>41</v>
      </c>
      <c r="I73" s="2">
        <v>7430</v>
      </c>
      <c r="J73" s="1">
        <v>1.444</v>
      </c>
      <c r="K73" s="1">
        <v>1.4950000000000001</v>
      </c>
      <c r="L73" s="1">
        <v>0.1</v>
      </c>
      <c r="M73" s="1">
        <v>4.25</v>
      </c>
      <c r="N73" s="1">
        <v>36.712737500000003</v>
      </c>
      <c r="O73" s="1">
        <v>37.5504441</v>
      </c>
      <c r="P73" s="1">
        <v>121.944</v>
      </c>
      <c r="Q73" s="1">
        <v>8.14</v>
      </c>
      <c r="R73" s="1">
        <v>8.0700400000000005</v>
      </c>
      <c r="S73" s="1">
        <f t="shared" si="5"/>
        <v>863.09804630713359</v>
      </c>
      <c r="T73" s="1">
        <f t="shared" si="4"/>
        <v>-7</v>
      </c>
    </row>
    <row r="74" spans="1:21" x14ac:dyDescent="0.2">
      <c r="A74" s="1" t="s">
        <v>76</v>
      </c>
      <c r="B74" s="1" t="s">
        <v>20</v>
      </c>
      <c r="C74" s="1">
        <v>6.87188</v>
      </c>
      <c r="D74" s="1">
        <v>7.5219999999999995E-2</v>
      </c>
      <c r="E74" s="1">
        <v>1.23</v>
      </c>
      <c r="F74" s="1">
        <v>3.44</v>
      </c>
      <c r="G74" s="1">
        <v>1250</v>
      </c>
      <c r="H74" s="1" t="s">
        <v>70</v>
      </c>
      <c r="I74" s="2">
        <v>6180</v>
      </c>
      <c r="J74" s="1">
        <v>1.52</v>
      </c>
      <c r="K74" s="1">
        <v>1.76</v>
      </c>
      <c r="L74" s="1">
        <v>-0.02</v>
      </c>
      <c r="M74" s="1">
        <v>4.25</v>
      </c>
      <c r="N74" s="1">
        <v>243.95971940000001</v>
      </c>
      <c r="O74" s="1">
        <v>10.0324103</v>
      </c>
      <c r="P74" s="1">
        <v>136.24</v>
      </c>
      <c r="Q74" s="1">
        <v>9.391</v>
      </c>
      <c r="R74" s="1">
        <v>9.20974</v>
      </c>
      <c r="S74" s="1">
        <f t="shared" si="5"/>
        <v>140.68549179703928</v>
      </c>
      <c r="T74" s="1">
        <f t="shared" si="4"/>
        <v>-5</v>
      </c>
    </row>
    <row r="75" spans="1:21" x14ac:dyDescent="0.2">
      <c r="A75" s="1" t="s">
        <v>112</v>
      </c>
      <c r="B75" s="1" t="s">
        <v>20</v>
      </c>
      <c r="C75" s="1">
        <v>3.86813881</v>
      </c>
      <c r="D75" s="1">
        <v>4.53E-2</v>
      </c>
      <c r="E75" s="1">
        <v>1</v>
      </c>
      <c r="F75" s="1">
        <v>0.26</v>
      </c>
      <c r="G75" s="1">
        <v>971</v>
      </c>
      <c r="H75" s="1" t="s">
        <v>113</v>
      </c>
      <c r="I75" s="2">
        <v>4792</v>
      </c>
      <c r="J75" s="1">
        <v>0.80100000000000005</v>
      </c>
      <c r="K75" s="1">
        <v>0.83</v>
      </c>
      <c r="L75" s="1">
        <v>0.35</v>
      </c>
      <c r="M75" s="1">
        <v>4.57</v>
      </c>
      <c r="N75" s="1">
        <v>315.02596610000001</v>
      </c>
      <c r="O75" s="1">
        <v>-5.0948570000000002</v>
      </c>
      <c r="P75" s="1">
        <v>49.960500000000003</v>
      </c>
      <c r="Q75" s="1">
        <v>9.8729999999999993</v>
      </c>
      <c r="R75" s="1">
        <v>9.4846599999999999</v>
      </c>
      <c r="S75" s="1">
        <f t="shared" si="5"/>
        <v>955.72600175951948</v>
      </c>
      <c r="T75" s="1">
        <f t="shared" si="4"/>
        <v>-5</v>
      </c>
      <c r="U75" s="3" t="s">
        <v>137</v>
      </c>
    </row>
    <row r="76" spans="1:21" x14ac:dyDescent="0.2">
      <c r="A76" s="1" t="s">
        <v>81</v>
      </c>
      <c r="B76" s="1" t="s">
        <v>20</v>
      </c>
      <c r="C76" s="1">
        <v>4.9546416000000004</v>
      </c>
      <c r="D76" s="1">
        <v>6.1699999999999998E-2</v>
      </c>
      <c r="E76" s="1">
        <v>1.33</v>
      </c>
      <c r="F76" s="1">
        <v>0.96</v>
      </c>
      <c r="G76" s="1">
        <v>1487</v>
      </c>
      <c r="I76" s="2">
        <v>6400</v>
      </c>
      <c r="J76" s="1">
        <v>1.4319999999999999</v>
      </c>
      <c r="K76" s="1">
        <v>1.276</v>
      </c>
      <c r="L76" s="1">
        <v>0</v>
      </c>
      <c r="M76" s="1">
        <v>4.2320000000000002</v>
      </c>
      <c r="N76" s="1">
        <v>311.04275580000001</v>
      </c>
      <c r="O76" s="1">
        <v>-39.225485599999999</v>
      </c>
      <c r="P76" s="1">
        <v>162.303</v>
      </c>
      <c r="Q76" s="1">
        <v>9.5039999999999996</v>
      </c>
      <c r="R76" s="1">
        <v>9.3767099999999992</v>
      </c>
      <c r="S76" s="1">
        <f t="shared" si="5"/>
        <v>701.18164217622461</v>
      </c>
      <c r="T76" s="1">
        <f t="shared" si="4"/>
        <v>-5</v>
      </c>
    </row>
    <row r="77" spans="1:21" x14ac:dyDescent="0.2">
      <c r="A77" s="1" t="s">
        <v>90</v>
      </c>
      <c r="B77" s="1" t="s">
        <v>20</v>
      </c>
      <c r="C77" s="1">
        <v>2.13775</v>
      </c>
      <c r="D77" s="1">
        <v>3.4430000000000002E-2</v>
      </c>
      <c r="E77" s="1">
        <v>1.36</v>
      </c>
      <c r="F77" s="1">
        <v>0.72</v>
      </c>
      <c r="G77" s="1">
        <v>1865</v>
      </c>
      <c r="H77" s="1" t="s">
        <v>91</v>
      </c>
      <c r="I77" s="2">
        <v>5990</v>
      </c>
      <c r="J77" s="1">
        <v>1.42</v>
      </c>
      <c r="K77" s="1">
        <v>0.98</v>
      </c>
      <c r="L77" s="1">
        <v>0.39</v>
      </c>
      <c r="M77" s="1">
        <v>4.3899999999999997</v>
      </c>
      <c r="N77" s="1">
        <v>304.53884299999999</v>
      </c>
      <c r="O77" s="1">
        <v>-1.0760033</v>
      </c>
      <c r="P77" s="1">
        <v>149.21600000000001</v>
      </c>
      <c r="Q77" s="1">
        <v>9.75</v>
      </c>
      <c r="R77" s="1">
        <v>9.5723000000000003</v>
      </c>
      <c r="S77" s="1">
        <f t="shared" si="5"/>
        <v>1226.0598654781754</v>
      </c>
      <c r="T77" s="1">
        <f t="shared" si="4"/>
        <v>-5</v>
      </c>
    </row>
    <row r="78" spans="1:21" x14ac:dyDescent="0.2">
      <c r="A78" s="1" t="s">
        <v>82</v>
      </c>
      <c r="B78" s="1" t="s">
        <v>20</v>
      </c>
      <c r="C78" s="1">
        <v>1.8098819799999999</v>
      </c>
      <c r="D78" s="1">
        <v>3.3000000000000002E-2</v>
      </c>
      <c r="E78" s="1">
        <v>1.8540000000000001</v>
      </c>
      <c r="F78" s="1">
        <v>0.89400000000000002</v>
      </c>
      <c r="G78" s="1">
        <v>2228</v>
      </c>
      <c r="H78" s="1" t="s">
        <v>52</v>
      </c>
      <c r="I78" s="2">
        <v>6329</v>
      </c>
      <c r="J78" s="1">
        <v>1.756</v>
      </c>
      <c r="K78" s="1">
        <v>1.458</v>
      </c>
      <c r="L78" s="1">
        <v>0.36599999999999999</v>
      </c>
      <c r="M78" s="1">
        <v>4.1959999999999997</v>
      </c>
      <c r="N78" s="1">
        <v>26.632936000000001</v>
      </c>
      <c r="O78" s="1">
        <v>2.7003889999999999</v>
      </c>
      <c r="P78" s="1">
        <v>194.459</v>
      </c>
      <c r="Q78" s="1">
        <v>9.5180000000000007</v>
      </c>
      <c r="R78" s="1">
        <v>9.3950700000000005</v>
      </c>
      <c r="S78" s="1">
        <f t="shared" si="5"/>
        <v>2192.2225820487197</v>
      </c>
      <c r="T78" s="1">
        <f t="shared" si="4"/>
        <v>-5</v>
      </c>
    </row>
    <row r="79" spans="1:21" x14ac:dyDescent="0.2">
      <c r="A79" s="1" t="s">
        <v>126</v>
      </c>
      <c r="B79" s="1" t="s">
        <v>20</v>
      </c>
      <c r="C79" s="1">
        <v>3.6623920000000001</v>
      </c>
      <c r="D79" s="1">
        <v>5.1900000000000002E-2</v>
      </c>
      <c r="E79" s="1">
        <v>1.53</v>
      </c>
      <c r="F79" s="1">
        <v>0.85</v>
      </c>
      <c r="G79" s="1">
        <v>1716.2</v>
      </c>
      <c r="H79" s="1" t="s">
        <v>127</v>
      </c>
      <c r="I79" s="2">
        <v>6600</v>
      </c>
      <c r="J79" s="1">
        <v>1.51</v>
      </c>
      <c r="K79" s="1">
        <v>1.39</v>
      </c>
      <c r="L79" s="1">
        <v>0.03</v>
      </c>
      <c r="M79" s="1">
        <v>4.2</v>
      </c>
      <c r="N79" s="1">
        <v>66.370901599999996</v>
      </c>
      <c r="O79" s="1">
        <v>-30.600436200000001</v>
      </c>
      <c r="P79" s="1">
        <v>246.69</v>
      </c>
      <c r="Q79" s="1">
        <v>10.044</v>
      </c>
      <c r="R79" s="1">
        <v>9.9720200000000006</v>
      </c>
      <c r="S79" s="1">
        <f t="shared" si="5"/>
        <v>1209.5375438309629</v>
      </c>
      <c r="T79" s="1">
        <f t="shared" si="4"/>
        <v>-5</v>
      </c>
    </row>
    <row r="80" spans="1:21" x14ac:dyDescent="0.2">
      <c r="A80" s="1" t="s">
        <v>96</v>
      </c>
      <c r="B80" s="1" t="s">
        <v>20</v>
      </c>
      <c r="C80" s="1">
        <v>8.1587200000000006</v>
      </c>
      <c r="D80" s="1">
        <v>8.0100000000000005E-2</v>
      </c>
      <c r="E80" s="1">
        <v>1.1299999999999999</v>
      </c>
      <c r="F80" s="1">
        <v>2.54</v>
      </c>
      <c r="G80" s="1">
        <v>1059</v>
      </c>
      <c r="H80" s="1" t="s">
        <v>97</v>
      </c>
      <c r="I80" s="2">
        <v>5600</v>
      </c>
      <c r="J80" s="1">
        <v>1.03</v>
      </c>
      <c r="K80" s="1">
        <v>1.34</v>
      </c>
      <c r="L80" s="1">
        <v>0.17</v>
      </c>
      <c r="M80" s="1">
        <v>4.5</v>
      </c>
      <c r="N80" s="1">
        <v>359.90087369999998</v>
      </c>
      <c r="O80" s="1">
        <v>-35.031334899999997</v>
      </c>
      <c r="P80" s="1">
        <v>89.960599999999999</v>
      </c>
      <c r="Q80" s="1">
        <v>9.7889999999999997</v>
      </c>
      <c r="R80" s="1">
        <v>9.6124899999999993</v>
      </c>
      <c r="S80" s="1">
        <f t="shared" si="5"/>
        <v>136.24063220140397</v>
      </c>
      <c r="T80" s="1">
        <f t="shared" si="4"/>
        <v>-5</v>
      </c>
    </row>
    <row r="81" spans="1:25" x14ac:dyDescent="0.2">
      <c r="A81" s="1" t="s">
        <v>132</v>
      </c>
      <c r="B81" s="1" t="s">
        <v>20</v>
      </c>
      <c r="C81" s="1">
        <v>2.7057899999999999</v>
      </c>
      <c r="D81" s="1">
        <v>4.4699999999999997E-2</v>
      </c>
      <c r="E81" s="1">
        <v>1.62</v>
      </c>
      <c r="F81" s="1">
        <v>1.17</v>
      </c>
      <c r="G81" s="1">
        <v>2190</v>
      </c>
      <c r="H81" s="1" t="s">
        <v>127</v>
      </c>
      <c r="I81" s="14">
        <v>6480</v>
      </c>
      <c r="J81" s="13">
        <v>2.1</v>
      </c>
      <c r="K81" s="1">
        <v>1.48</v>
      </c>
      <c r="L81" s="1">
        <v>0.12</v>
      </c>
      <c r="M81" s="13">
        <v>3.96</v>
      </c>
      <c r="N81" s="13">
        <v>72.660591600000004</v>
      </c>
      <c r="O81" s="13">
        <v>1.8938364999999999</v>
      </c>
      <c r="P81" s="1">
        <v>275.66399999999999</v>
      </c>
      <c r="Q81" s="13">
        <v>10.073</v>
      </c>
      <c r="R81" s="13">
        <v>9.8979599999999994</v>
      </c>
      <c r="S81" s="1">
        <f t="shared" si="5"/>
        <v>1257.117296864338</v>
      </c>
      <c r="T81" s="1">
        <f t="shared" si="4"/>
        <v>-5</v>
      </c>
    </row>
    <row r="82" spans="1:25" x14ac:dyDescent="0.2">
      <c r="A82" s="16" t="s">
        <v>128</v>
      </c>
      <c r="B82" s="13" t="s">
        <v>20</v>
      </c>
      <c r="C82" s="1">
        <v>3.9501900000000001</v>
      </c>
      <c r="D82" s="1">
        <v>5.5E-2</v>
      </c>
      <c r="E82" s="1">
        <v>1.58</v>
      </c>
      <c r="F82" s="1">
        <v>0.5</v>
      </c>
      <c r="G82" s="1">
        <v>1604</v>
      </c>
      <c r="H82" s="1" t="s">
        <v>54</v>
      </c>
      <c r="I82" s="14">
        <v>6170</v>
      </c>
      <c r="J82" s="13">
        <v>1.48</v>
      </c>
      <c r="K82" s="1">
        <v>1.67</v>
      </c>
      <c r="L82" s="1">
        <v>0.26</v>
      </c>
      <c r="M82" s="13">
        <v>4.2699999999999996</v>
      </c>
      <c r="N82" s="13">
        <v>313.78323929999999</v>
      </c>
      <c r="O82" s="13">
        <v>-34.135751200000001</v>
      </c>
      <c r="P82" s="1">
        <v>211.21100000000001</v>
      </c>
      <c r="Q82" s="13">
        <v>10.051</v>
      </c>
      <c r="R82" s="13">
        <v>10.028499999999999</v>
      </c>
      <c r="S82" s="1">
        <f t="shared" si="5"/>
        <v>2049.4439875099679</v>
      </c>
      <c r="T82" s="1">
        <f t="shared" si="4"/>
        <v>-5</v>
      </c>
    </row>
    <row r="83" spans="1:25" x14ac:dyDescent="0.2">
      <c r="A83" s="16" t="s">
        <v>133</v>
      </c>
      <c r="B83" s="1" t="s">
        <v>20</v>
      </c>
      <c r="C83" s="1">
        <v>2.1846700000000001</v>
      </c>
      <c r="D83" s="1">
        <v>3.4160000000000003E-2</v>
      </c>
      <c r="E83" s="1">
        <v>1.23</v>
      </c>
      <c r="F83" s="1">
        <v>1.44</v>
      </c>
      <c r="G83" s="1">
        <v>1570</v>
      </c>
      <c r="H83" s="1" t="s">
        <v>134</v>
      </c>
      <c r="I83" s="14">
        <v>5830</v>
      </c>
      <c r="J83" s="13">
        <v>1.23</v>
      </c>
      <c r="K83" s="1">
        <v>1.46</v>
      </c>
      <c r="L83" s="1">
        <v>0.14000000000000001</v>
      </c>
      <c r="M83" s="13">
        <v>4.3600000000000003</v>
      </c>
      <c r="N83" s="13">
        <v>337.45782430000003</v>
      </c>
      <c r="O83" s="13">
        <v>-48.003098799999997</v>
      </c>
      <c r="P83" s="1">
        <v>137.54400000000001</v>
      </c>
      <c r="Q83" s="13">
        <v>10.092000000000001</v>
      </c>
      <c r="R83" s="13">
        <v>9.9369700000000005</v>
      </c>
      <c r="S83" s="1">
        <f t="shared" si="5"/>
        <v>422.11900227636102</v>
      </c>
      <c r="T83" s="1">
        <f t="shared" si="4"/>
        <v>-5</v>
      </c>
    </row>
    <row r="84" spans="1:25" x14ac:dyDescent="0.2">
      <c r="A84" s="16" t="s">
        <v>79</v>
      </c>
      <c r="B84" s="1" t="s">
        <v>20</v>
      </c>
      <c r="C84" s="1">
        <v>5.75251</v>
      </c>
      <c r="D84" s="1">
        <v>7.17E-2</v>
      </c>
      <c r="E84" s="1">
        <v>1.02</v>
      </c>
      <c r="F84" s="1">
        <v>2.4300000000000002</v>
      </c>
      <c r="G84" s="1">
        <v>1480</v>
      </c>
      <c r="H84" s="1" t="s">
        <v>54</v>
      </c>
      <c r="I84" s="14">
        <v>6150</v>
      </c>
      <c r="J84" s="13">
        <v>1.64</v>
      </c>
      <c r="K84" s="1">
        <v>1.21</v>
      </c>
      <c r="L84" s="1">
        <v>0.21</v>
      </c>
      <c r="M84" s="13">
        <v>4.3</v>
      </c>
      <c r="N84" s="13">
        <v>39.897668899999999</v>
      </c>
      <c r="O84" s="13">
        <v>-50.008193400000003</v>
      </c>
      <c r="P84" s="1">
        <v>158.66</v>
      </c>
      <c r="Q84" s="13">
        <v>9.4749999999999996</v>
      </c>
      <c r="R84" s="13">
        <v>9.3251000000000008</v>
      </c>
      <c r="S84" s="1">
        <f t="shared" si="5"/>
        <v>162.15983922320817</v>
      </c>
      <c r="T84" s="1">
        <f t="shared" si="4"/>
        <v>-5</v>
      </c>
    </row>
    <row r="85" spans="1:25" x14ac:dyDescent="0.2">
      <c r="A85" s="16" t="s">
        <v>107</v>
      </c>
      <c r="B85" s="1" t="s">
        <v>20</v>
      </c>
      <c r="C85" s="1">
        <v>3.1915399999999998</v>
      </c>
      <c r="D85" s="1">
        <v>4.7600000000000003E-2</v>
      </c>
      <c r="E85" s="1">
        <v>1.41</v>
      </c>
      <c r="F85" s="1">
        <v>7.29</v>
      </c>
      <c r="G85" s="1">
        <v>1729</v>
      </c>
      <c r="H85" s="1" t="s">
        <v>108</v>
      </c>
      <c r="I85" s="17">
        <v>6429</v>
      </c>
      <c r="J85" s="18">
        <v>1.54</v>
      </c>
      <c r="K85" s="1">
        <v>0.57999999999999996</v>
      </c>
      <c r="L85" s="1">
        <v>-0.18</v>
      </c>
      <c r="M85" s="18">
        <v>3.95</v>
      </c>
      <c r="N85" s="1">
        <v>65.469581399999996</v>
      </c>
      <c r="O85" s="18">
        <v>57.817209499999997</v>
      </c>
      <c r="P85" s="1">
        <v>213.053</v>
      </c>
      <c r="Q85" s="18">
        <v>9.8539999999999992</v>
      </c>
      <c r="R85" s="18">
        <v>9.7388899999999996</v>
      </c>
      <c r="S85" s="1">
        <f t="shared" si="5"/>
        <v>120.66830436099001</v>
      </c>
      <c r="T85" s="1">
        <f t="shared" si="4"/>
        <v>-5</v>
      </c>
    </row>
    <row r="86" spans="1:25" x14ac:dyDescent="0.2">
      <c r="A86" s="3" t="s">
        <v>148</v>
      </c>
      <c r="I86" s="2">
        <v>3460</v>
      </c>
      <c r="J86" s="1">
        <v>0.54700000000000004</v>
      </c>
      <c r="K86" s="1">
        <v>0.54300000000000004</v>
      </c>
      <c r="L86" s="1">
        <v>0</v>
      </c>
      <c r="M86" s="1">
        <v>4.6963999999999997</v>
      </c>
      <c r="N86" s="1">
        <v>303.19871318011002</v>
      </c>
      <c r="O86" s="1">
        <v>-0.37849292589</v>
      </c>
      <c r="P86" s="1">
        <v>312.65899999999999</v>
      </c>
      <c r="V86" s="1">
        <v>10.968999999999999</v>
      </c>
      <c r="W86" s="1">
        <v>11.454000000000001</v>
      </c>
      <c r="X86" s="1" t="s">
        <v>149</v>
      </c>
      <c r="Y86" s="1" t="s">
        <v>137</v>
      </c>
    </row>
    <row r="87" spans="1:25" x14ac:dyDescent="0.2">
      <c r="A87" s="3" t="s">
        <v>150</v>
      </c>
      <c r="I87" s="2">
        <v>3496</v>
      </c>
      <c r="J87" s="1">
        <v>83.710999999999999</v>
      </c>
      <c r="K87" s="1">
        <v>0</v>
      </c>
      <c r="L87" s="1">
        <v>0</v>
      </c>
      <c r="M87" s="1">
        <v>0</v>
      </c>
      <c r="N87" s="1">
        <v>293.64838257128002</v>
      </c>
      <c r="O87" s="1">
        <v>-12.35499539692</v>
      </c>
      <c r="P87" s="1">
        <v>1655.31</v>
      </c>
      <c r="V87" s="1">
        <v>10.977</v>
      </c>
      <c r="W87" s="1">
        <v>12.571999999999999</v>
      </c>
      <c r="X87" s="1" t="s">
        <v>151</v>
      </c>
      <c r="Y87" s="1" t="s">
        <v>137</v>
      </c>
    </row>
    <row r="88" spans="1:25" x14ac:dyDescent="0.2">
      <c r="A88" s="3" t="s">
        <v>152</v>
      </c>
      <c r="I88" s="2">
        <v>5804</v>
      </c>
      <c r="J88" s="1">
        <v>1.179</v>
      </c>
      <c r="K88" s="1">
        <v>1.04</v>
      </c>
      <c r="L88" s="1">
        <v>0</v>
      </c>
      <c r="M88" s="1">
        <v>4.3121</v>
      </c>
      <c r="N88" s="1">
        <v>274.86862255196002</v>
      </c>
      <c r="O88" s="1">
        <v>5.3506741626599998</v>
      </c>
      <c r="P88" s="1">
        <v>1644.4</v>
      </c>
      <c r="V88" s="1">
        <v>15.965999999999999</v>
      </c>
      <c r="W88" s="1">
        <v>16.86</v>
      </c>
      <c r="X88" s="1" t="s">
        <v>149</v>
      </c>
      <c r="Y88" s="1" t="s">
        <v>137</v>
      </c>
    </row>
    <row r="89" spans="1:25" x14ac:dyDescent="0.2">
      <c r="A89" s="3" t="s">
        <v>153</v>
      </c>
      <c r="I89" s="2">
        <v>5812</v>
      </c>
      <c r="J89" s="1">
        <v>0.85599999999999998</v>
      </c>
      <c r="K89" s="1">
        <v>1.0449999999999999</v>
      </c>
      <c r="L89" s="1">
        <v>0</v>
      </c>
      <c r="M89" s="1">
        <v>4.5917000000000003</v>
      </c>
      <c r="N89" s="1">
        <v>47.805523543809997</v>
      </c>
      <c r="O89" s="1">
        <v>-18.380477788619999</v>
      </c>
      <c r="P89" s="1">
        <v>147.77799999999999</v>
      </c>
      <c r="V89" s="1">
        <v>11.044</v>
      </c>
      <c r="W89" s="1">
        <v>11.662000000000001</v>
      </c>
      <c r="X89" s="1" t="s">
        <v>149</v>
      </c>
      <c r="Y89" s="1" t="s">
        <v>137</v>
      </c>
    </row>
    <row r="90" spans="1:25" x14ac:dyDescent="0.2">
      <c r="A90" s="3" t="s">
        <v>154</v>
      </c>
      <c r="I90" s="2">
        <v>5815.4</v>
      </c>
      <c r="J90" s="1">
        <v>4.2549999999999999</v>
      </c>
      <c r="K90" s="1">
        <v>0</v>
      </c>
      <c r="L90" s="1">
        <v>-0.19350000000000001</v>
      </c>
      <c r="M90" s="1">
        <v>0</v>
      </c>
      <c r="N90" s="1">
        <v>80.600252814719994</v>
      </c>
      <c r="O90" s="1">
        <v>-68.64221652773</v>
      </c>
      <c r="P90" s="1">
        <v>398.375</v>
      </c>
      <c r="V90" s="1">
        <v>11.137</v>
      </c>
      <c r="W90" s="1">
        <v>11.56</v>
      </c>
      <c r="X90" s="1" t="s">
        <v>151</v>
      </c>
      <c r="Y90" s="1" t="s">
        <v>137</v>
      </c>
    </row>
    <row r="91" spans="1:25" x14ac:dyDescent="0.2">
      <c r="A91" s="1" t="s">
        <v>155</v>
      </c>
      <c r="I91" s="2">
        <v>5799</v>
      </c>
      <c r="J91" s="1">
        <v>0.99</v>
      </c>
      <c r="K91" s="1">
        <v>1.042</v>
      </c>
      <c r="L91" s="1">
        <v>0</v>
      </c>
      <c r="M91" s="1">
        <v>4.4642999999999997</v>
      </c>
      <c r="N91" s="1">
        <v>278.21725113665002</v>
      </c>
      <c r="O91" s="1">
        <v>11.92287820316</v>
      </c>
      <c r="P91" s="1">
        <v>224.12799999999999</v>
      </c>
      <c r="V91" s="1">
        <v>11.997</v>
      </c>
      <c r="W91" s="1">
        <v>12.47</v>
      </c>
      <c r="X91" s="1" t="s">
        <v>149</v>
      </c>
      <c r="Y91" s="1" t="s">
        <v>137</v>
      </c>
    </row>
    <row r="92" spans="1:25" x14ac:dyDescent="0.2">
      <c r="A92" s="1" t="s">
        <v>156</v>
      </c>
      <c r="I92" s="2">
        <v>5806</v>
      </c>
      <c r="J92" s="1">
        <v>27.986999999999998</v>
      </c>
      <c r="K92" s="1">
        <v>0</v>
      </c>
      <c r="L92" s="1">
        <v>0</v>
      </c>
      <c r="M92" s="1">
        <v>0</v>
      </c>
      <c r="N92" s="1">
        <v>278.48921850735002</v>
      </c>
      <c r="O92" s="1">
        <v>31.640052119060002</v>
      </c>
      <c r="P92" s="1">
        <v>7397.91</v>
      </c>
      <c r="V92" s="1">
        <v>12.01</v>
      </c>
      <c r="W92" s="1">
        <v>12.507</v>
      </c>
      <c r="X92" s="1" t="s">
        <v>151</v>
      </c>
      <c r="Y92" s="1" t="s">
        <v>137</v>
      </c>
    </row>
    <row r="93" spans="1:25" x14ac:dyDescent="0.2">
      <c r="A93" s="1" t="s">
        <v>157</v>
      </c>
      <c r="I93" s="2">
        <v>5775</v>
      </c>
      <c r="J93" s="1">
        <v>5.1109999999999998</v>
      </c>
      <c r="K93" s="1">
        <v>0</v>
      </c>
      <c r="L93" s="1">
        <v>0</v>
      </c>
      <c r="M93" s="1">
        <v>0</v>
      </c>
      <c r="N93" s="1">
        <v>274.00302978329</v>
      </c>
      <c r="O93" s="1">
        <v>22.9885348444</v>
      </c>
      <c r="P93" s="1">
        <v>1802.37</v>
      </c>
      <c r="V93" s="1">
        <v>12.961</v>
      </c>
      <c r="W93" s="1">
        <v>14.082000000000001</v>
      </c>
      <c r="X93" s="1" t="s">
        <v>151</v>
      </c>
      <c r="Y93" s="1" t="s">
        <v>137</v>
      </c>
    </row>
    <row r="94" spans="1:25" x14ac:dyDescent="0.2">
      <c r="A94" s="1" t="s">
        <v>158</v>
      </c>
      <c r="I94" s="2">
        <v>5800.4</v>
      </c>
      <c r="J94" s="1">
        <v>1.4930000000000001</v>
      </c>
      <c r="K94" s="1">
        <v>1.04</v>
      </c>
      <c r="L94" s="1">
        <v>-6.6000000000000003E-2</v>
      </c>
      <c r="M94" s="1">
        <v>4.1069000000000004</v>
      </c>
      <c r="N94" s="1">
        <v>270.30880152526998</v>
      </c>
      <c r="O94" s="1">
        <v>15.944626030029999</v>
      </c>
      <c r="P94" s="1">
        <v>579.08500000000004</v>
      </c>
      <c r="V94" s="1">
        <v>12.978999999999999</v>
      </c>
      <c r="W94" s="1">
        <v>13.638999999999999</v>
      </c>
      <c r="X94" s="1" t="s">
        <v>149</v>
      </c>
      <c r="Y94" s="1" t="s">
        <v>137</v>
      </c>
    </row>
    <row r="95" spans="1:25" x14ac:dyDescent="0.2">
      <c r="A95" s="1" t="s">
        <v>159</v>
      </c>
      <c r="I95" s="2">
        <v>5800</v>
      </c>
      <c r="J95" s="1">
        <v>1.417</v>
      </c>
      <c r="K95" s="1">
        <v>1.04</v>
      </c>
      <c r="L95" s="1">
        <v>0</v>
      </c>
      <c r="M95" s="1">
        <v>4.1520999999999999</v>
      </c>
      <c r="N95" s="1">
        <v>280.34203579685999</v>
      </c>
      <c r="O95" s="1">
        <v>26.315625519600001</v>
      </c>
      <c r="P95" s="1">
        <v>897.52700000000004</v>
      </c>
      <c r="V95" s="1">
        <v>13.994999999999999</v>
      </c>
      <c r="W95" s="1">
        <v>14.913</v>
      </c>
      <c r="X95" s="1" t="s">
        <v>149</v>
      </c>
      <c r="Y95" s="1" t="s">
        <v>137</v>
      </c>
    </row>
    <row r="96" spans="1:25" x14ac:dyDescent="0.2">
      <c r="A96" s="1" t="s">
        <v>160</v>
      </c>
      <c r="I96" s="2">
        <v>5824</v>
      </c>
      <c r="J96" s="1">
        <v>4.7249999999999996</v>
      </c>
      <c r="K96" s="1">
        <v>0</v>
      </c>
      <c r="L96" s="1">
        <v>0</v>
      </c>
      <c r="M96" s="1">
        <v>0</v>
      </c>
      <c r="N96" s="1">
        <v>284.95537150204001</v>
      </c>
      <c r="O96" s="1">
        <v>14.42740619077</v>
      </c>
      <c r="P96" s="1">
        <v>1961.4</v>
      </c>
      <c r="V96" s="1">
        <v>14.023</v>
      </c>
      <c r="W96" s="1">
        <v>15.048999999999999</v>
      </c>
      <c r="X96" s="1" t="s">
        <v>151</v>
      </c>
      <c r="Y96" s="1" t="s">
        <v>137</v>
      </c>
    </row>
    <row r="97" spans="1:25" x14ac:dyDescent="0.2">
      <c r="A97" s="1" t="s">
        <v>161</v>
      </c>
      <c r="I97" s="2">
        <v>5813</v>
      </c>
      <c r="J97" s="1">
        <v>1.83</v>
      </c>
      <c r="K97" s="1">
        <v>1.05</v>
      </c>
      <c r="L97" s="1">
        <v>0</v>
      </c>
      <c r="M97" s="1">
        <v>3.9344999999999999</v>
      </c>
      <c r="N97" s="1">
        <v>270.99233637095</v>
      </c>
      <c r="O97" s="1">
        <v>16.858729226019999</v>
      </c>
      <c r="P97" s="1">
        <v>1779.6</v>
      </c>
      <c r="V97" s="1">
        <v>14.999000000000001</v>
      </c>
      <c r="W97" s="1">
        <v>15.66</v>
      </c>
      <c r="X97" s="1" t="s">
        <v>149</v>
      </c>
      <c r="Y97" s="1" t="s">
        <v>137</v>
      </c>
    </row>
    <row r="98" spans="1:25" x14ac:dyDescent="0.2">
      <c r="A98" s="1" t="s">
        <v>162</v>
      </c>
      <c r="I98" s="2">
        <v>5820</v>
      </c>
      <c r="J98" s="1">
        <v>6.2519999999999998</v>
      </c>
      <c r="K98" s="1">
        <v>0</v>
      </c>
      <c r="L98" s="1">
        <v>0</v>
      </c>
      <c r="M98" s="1">
        <v>0</v>
      </c>
      <c r="N98" s="1">
        <v>267.97432727351003</v>
      </c>
      <c r="O98" s="1">
        <v>17.507747521020001</v>
      </c>
      <c r="P98" s="1">
        <v>6401.77</v>
      </c>
      <c r="V98" s="1">
        <v>15.007999999999999</v>
      </c>
      <c r="W98" s="1">
        <v>15.702999999999999</v>
      </c>
      <c r="X98" s="1" t="s">
        <v>151</v>
      </c>
      <c r="Y98" s="1" t="s">
        <v>137</v>
      </c>
    </row>
    <row r="99" spans="1:25" x14ac:dyDescent="0.2">
      <c r="A99" s="1" t="s">
        <v>163</v>
      </c>
      <c r="I99" s="2">
        <v>5800</v>
      </c>
      <c r="J99" s="1">
        <v>1.3220000000000001</v>
      </c>
      <c r="K99" s="1">
        <v>1.04</v>
      </c>
      <c r="L99" s="1">
        <v>0</v>
      </c>
      <c r="M99" s="1">
        <v>4.2129000000000003</v>
      </c>
      <c r="N99" s="1">
        <v>270.95467601665001</v>
      </c>
      <c r="O99" s="1">
        <v>3.9944008770699999</v>
      </c>
      <c r="P99" s="1">
        <v>2963.53</v>
      </c>
      <c r="V99" s="1">
        <v>17.052</v>
      </c>
      <c r="W99" s="1">
        <v>17.364000000000001</v>
      </c>
      <c r="X99" s="1" t="s">
        <v>149</v>
      </c>
      <c r="Y99" s="1" t="s">
        <v>137</v>
      </c>
    </row>
    <row r="100" spans="1:25" x14ac:dyDescent="0.2">
      <c r="A100" s="3" t="s">
        <v>164</v>
      </c>
      <c r="I100" s="2">
        <v>5816</v>
      </c>
      <c r="J100" s="1">
        <v>5.2939999999999996</v>
      </c>
      <c r="K100" s="1">
        <v>0</v>
      </c>
      <c r="L100" s="1">
        <v>0</v>
      </c>
      <c r="M100" s="1">
        <v>0</v>
      </c>
      <c r="N100" s="1">
        <v>284.79622244569998</v>
      </c>
      <c r="O100" s="1">
        <v>15.987368865140001</v>
      </c>
      <c r="P100" s="1">
        <v>3747.72</v>
      </c>
      <c r="V100" s="1">
        <v>15.958</v>
      </c>
      <c r="W100" s="1">
        <v>17.585999999999999</v>
      </c>
      <c r="X100" s="1" t="s">
        <v>151</v>
      </c>
      <c r="Y100" s="1" t="s">
        <v>137</v>
      </c>
    </row>
    <row r="101" spans="1:25" x14ac:dyDescent="0.2">
      <c r="A101" s="3" t="s">
        <v>165</v>
      </c>
      <c r="I101" s="2">
        <v>5792</v>
      </c>
      <c r="J101" s="1">
        <v>0</v>
      </c>
      <c r="K101" s="1">
        <v>0</v>
      </c>
      <c r="L101" s="1">
        <v>0</v>
      </c>
      <c r="M101" s="1">
        <v>0</v>
      </c>
      <c r="N101" s="1">
        <v>276.67545984469001</v>
      </c>
      <c r="O101" s="1">
        <v>14.0128749692</v>
      </c>
      <c r="P101" s="1">
        <v>2046.66</v>
      </c>
      <c r="V101" s="1">
        <v>17.097000000000001</v>
      </c>
      <c r="W101" s="1">
        <v>18.082999999999998</v>
      </c>
      <c r="X101" s="1">
        <v>0</v>
      </c>
      <c r="Y101" s="1" t="s">
        <v>137</v>
      </c>
    </row>
    <row r="102" spans="1:25" x14ac:dyDescent="0.2">
      <c r="A102" s="1" t="s">
        <v>166</v>
      </c>
      <c r="I102" s="2">
        <v>3501</v>
      </c>
      <c r="J102" s="1">
        <v>50.991</v>
      </c>
      <c r="K102" s="1">
        <v>0</v>
      </c>
      <c r="L102" s="1">
        <v>0</v>
      </c>
      <c r="M102" s="1">
        <v>0</v>
      </c>
      <c r="N102" s="1">
        <v>254.47763000024</v>
      </c>
      <c r="O102" s="1">
        <v>-23.844465202550001</v>
      </c>
      <c r="P102" s="1">
        <v>1025.1500000000001</v>
      </c>
      <c r="V102" s="1">
        <v>11.035</v>
      </c>
      <c r="W102" s="1">
        <v>12.885999999999999</v>
      </c>
      <c r="X102" s="1" t="s">
        <v>151</v>
      </c>
      <c r="Y102" s="1" t="s">
        <v>137</v>
      </c>
    </row>
  </sheetData>
  <autoFilter ref="A1:Y101" xr:uid="{00000000-0001-0000-0000-000000000000}"/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2026-03-17T08:37:20Z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